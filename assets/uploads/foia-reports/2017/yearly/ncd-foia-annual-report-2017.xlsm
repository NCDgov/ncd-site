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201" codeName="{21656B06-1B9B-AA78-C99D-37B55691406E}"/>
  <workbookPr codeName="Workbook" defaultThemeVersion="124226"/>
  <mc:AlternateContent xmlns:mc="http://schemas.openxmlformats.org/markup-compatibility/2006">
    <mc:Choice Requires="x15">
      <x15ac:absPath xmlns:x15ac="http://schemas.microsoft.com/office/spreadsheetml/2010/11/ac" url="\\local.ncd.gov\ncd\Redirected\anicholas\My Documents\"/>
    </mc:Choice>
  </mc:AlternateContent>
  <bookViews>
    <workbookView xWindow="0" yWindow="0" windowWidth="28800" windowHeight="12210" tabRatio="691"/>
  </bookViews>
  <sheets>
    <sheet name="Macro Instructions" sheetId="45" r:id="rId1"/>
    <sheet name="Instructions" sheetId="37" state="hidden" r:id="rId2"/>
    <sheet name="Agency Information" sheetId="1" state="hidden" r:id="rId3"/>
    <sheet name="IV." sheetId="4" state="hidden" r:id="rId4"/>
    <sheet name="V.A." sheetId="5" state="hidden" r:id="rId5"/>
    <sheet name="V.B.1." sheetId="6" state="hidden" r:id="rId6"/>
    <sheet name="V.B.2." sheetId="12" state="hidden" r:id="rId7"/>
    <sheet name="V.B.3." sheetId="7" state="hidden" r:id="rId8"/>
    <sheet name="VI.A." sheetId="14" state="hidden" r:id="rId9"/>
    <sheet name="VI.B." sheetId="15" state="hidden" r:id="rId10"/>
    <sheet name="VI.C.1." sheetId="17" state="hidden" r:id="rId11"/>
    <sheet name="VI.C.2." sheetId="18" state="hidden" r:id="rId12"/>
    <sheet name="VI.C.3." sheetId="19" state="hidden" r:id="rId13"/>
    <sheet name="VI.C.4." sheetId="20" state="hidden" r:id="rId14"/>
    <sheet name="VI.C.5." sheetId="21" state="hidden" r:id="rId15"/>
    <sheet name="VII.A." sheetId="22" state="hidden" r:id="rId16"/>
    <sheet name="VII.B." sheetId="23" state="hidden" r:id="rId17"/>
    <sheet name="VII.C.1." sheetId="25" state="hidden" r:id="rId18"/>
    <sheet name="VII.C.2." sheetId="27" state="hidden" r:id="rId19"/>
    <sheet name="Sheet1" sheetId="46" state="hidden" r:id="rId20"/>
    <sheet name="VII.C.3." sheetId="28" state="hidden" r:id="rId21"/>
    <sheet name="VII.D." sheetId="29" state="hidden" r:id="rId22"/>
    <sheet name="VII.E." sheetId="30" state="hidden" r:id="rId23"/>
    <sheet name="VIII.A." sheetId="31" state="hidden" r:id="rId24"/>
    <sheet name="VIII.B." sheetId="32" state="hidden" r:id="rId25"/>
    <sheet name="IX." sheetId="34" state="hidden" r:id="rId26"/>
    <sheet name="X." sheetId="35" state="hidden" r:id="rId27"/>
    <sheet name="XII.A." sheetId="36" state="hidden" r:id="rId28"/>
    <sheet name="XII.B." sheetId="38" state="hidden" r:id="rId29"/>
    <sheet name="XII.C." sheetId="39" state="hidden" r:id="rId30"/>
    <sheet name="XII.D.1." sheetId="40" state="hidden" r:id="rId31"/>
    <sheet name="XII.D.2." sheetId="42" state="hidden" r:id="rId32"/>
    <sheet name="XII.E.1." sheetId="43" state="hidden" r:id="rId33"/>
    <sheet name="XII.E.2." sheetId="44" state="hidden" r:id="rId34"/>
    <sheet name="wksUISettings" sheetId="2" state="hidden" r:id="rId35"/>
    <sheet name="Implementation Notes" sheetId="3" state="hidden" r:id="rId36"/>
  </sheets>
  <functionGroups builtInGroupCount="18"/>
  <definedNames>
    <definedName name="AgencyAbbreviation" localSheetId="2">'Agency Information'!$D$8</definedName>
    <definedName name="AgencyName" localSheetId="2">'Agency Information'!$D$7</definedName>
    <definedName name="AnnualReportYear" localSheetId="2">'Agency Information'!$D$9</definedName>
    <definedName name="ComponentAbbreviation">'Agency Information'!$D$8</definedName>
    <definedName name="ComponentAbbrevNoAgency">'Agency Information'!$C$16</definedName>
    <definedName name="DatePrepared" localSheetId="2">'Agency Information'!$D$10</definedName>
    <definedName name="FootnoteEnd" localSheetId="3">IV.!$C$16</definedName>
    <definedName name="FootnoteEnd" localSheetId="25">IX.!$G$17</definedName>
    <definedName name="FootnoteEnd" localSheetId="4">V.A.!$F$17</definedName>
    <definedName name="FootnoteEnd" localSheetId="5">V.B.1.!$Q$18</definedName>
    <definedName name="FootnoteEnd" localSheetId="6">V.B.2.!$G$16</definedName>
    <definedName name="FootnoteEnd" localSheetId="7">V.B.3.!$Q$17</definedName>
    <definedName name="FootnoteEnd" localSheetId="8">VI.A.!$F$17</definedName>
    <definedName name="FootnoteEnd" localSheetId="9">VI.B.!$I$17</definedName>
    <definedName name="FootnoteEnd" localSheetId="10">VI.C.1.!$Q$17</definedName>
    <definedName name="FootnoteEnd" localSheetId="11">VI.C.2.!$N$17</definedName>
    <definedName name="FootnoteEnd" localSheetId="12">VI.C.3.!$G$16</definedName>
    <definedName name="FootnoteEnd" localSheetId="13">VI.C.4.!$G$17</definedName>
    <definedName name="FootnoteEnd" localSheetId="14">VI.C.5.!$M$18</definedName>
    <definedName name="FootnoteEnd" localSheetId="15">VII.A.!$O$18</definedName>
    <definedName name="FootnoteEnd" localSheetId="16">VII.B.!$O$18</definedName>
    <definedName name="FootnoteEnd" localSheetId="17">VII.C.1.!$P$17</definedName>
    <definedName name="FootnoteEnd" localSheetId="18">VII.C.2.!$P$17</definedName>
    <definedName name="FootnoteEnd" localSheetId="20">VII.C.3.!$P$17</definedName>
    <definedName name="FootnoteEnd" localSheetId="21">VII.D.!$L$18</definedName>
    <definedName name="FootnoteEnd" localSheetId="22">VII.E.!$M$18</definedName>
    <definedName name="FootnoteEnd" localSheetId="23">VIII.A.!$H$16</definedName>
    <definedName name="FootnoteEnd" localSheetId="24">VIII.B.!$G$16</definedName>
    <definedName name="FootnoteEnd" localSheetId="26">X.!$E$16</definedName>
    <definedName name="FootnoteEnd" localSheetId="27">XII.A.!$E$16</definedName>
    <definedName name="FootnoteEnd" localSheetId="28">XII.B.!$F$17</definedName>
    <definedName name="FootnoteEnd" localSheetId="29">XII.C.!$M$18</definedName>
    <definedName name="FootnoteEnd" localSheetId="30">XII.D.1.!$I$17</definedName>
    <definedName name="FootnoteEnd" localSheetId="31">XII.D.2.!$F$16</definedName>
    <definedName name="FootnoteEnd" localSheetId="32">XII.E.1.!$I$17</definedName>
    <definedName name="FootnoteEnd" localSheetId="33">XII.E.2.!$F$16</definedName>
    <definedName name="FootnoteStart" localSheetId="3">IV.!$C$13</definedName>
    <definedName name="FootnoteStart" localSheetId="25">IX.!$G$14</definedName>
    <definedName name="FootnoteStart" localSheetId="4">V.A.!$F$14</definedName>
    <definedName name="FootnoteStart" localSheetId="5">V.B.1.!$Q$15</definedName>
    <definedName name="FootnoteStart" localSheetId="6">V.B.2.!$G$13</definedName>
    <definedName name="FootnoteStart" localSheetId="7">V.B.3.!$Q$14</definedName>
    <definedName name="FootnoteStart" localSheetId="8">VI.A.!$F$14</definedName>
    <definedName name="FootnoteStart" localSheetId="9">VI.B.!$I$14</definedName>
    <definedName name="FootnoteStart" localSheetId="10">VI.C.1.!$Q$14</definedName>
    <definedName name="FootnoteStart" localSheetId="11">VI.C.2.!$N$14</definedName>
    <definedName name="FootnoteStart" localSheetId="12">VI.C.3.!$G$13</definedName>
    <definedName name="FootnoteStart" localSheetId="13">VI.C.4.!$G$14</definedName>
    <definedName name="FootnoteStart" localSheetId="14">VI.C.5.!$M$15</definedName>
    <definedName name="FootnoteStart" localSheetId="15">VII.A.!$O$15</definedName>
    <definedName name="FootnoteStart" localSheetId="16">VII.B.!$O$15</definedName>
    <definedName name="FootnoteStart" localSheetId="17">VII.C.1.!$P$14</definedName>
    <definedName name="FootnoteStart" localSheetId="18">VII.C.2.!$P$14</definedName>
    <definedName name="FootnoteStart" localSheetId="20">VII.C.3.!$P$14</definedName>
    <definedName name="FootnoteStart" localSheetId="21">VII.D.!$L$15</definedName>
    <definedName name="FootnoteStart" localSheetId="22">VII.E.!$M$15</definedName>
    <definedName name="FootnoteStart" localSheetId="23">VIII.A.!$H$13</definedName>
    <definedName name="FootnoteStart" localSheetId="24">VIII.B.!$G$13</definedName>
    <definedName name="FootnoteStart" localSheetId="26">X.!$E$13</definedName>
    <definedName name="FootnoteStart" localSheetId="27">XII.A.!$E$13</definedName>
    <definedName name="FootnoteStart" localSheetId="28">XII.B.!$F$14</definedName>
    <definedName name="FootnoteStart" localSheetId="29">XII.C.!$M$15</definedName>
    <definedName name="FootnoteStart" localSheetId="30">XII.D.1.!$I$14</definedName>
    <definedName name="FootnoteStart" localSheetId="31">XII.D.2.!$F$13</definedName>
    <definedName name="FootnoteStart" localSheetId="32">XII.E.1.!$I$14</definedName>
    <definedName name="FootnoteStart" localSheetId="33">XII.E.2.!$F$13</definedName>
    <definedName name="InputListEnd" localSheetId="2">'Agency Information'!$C$18:$D$18</definedName>
    <definedName name="InputListEnd" localSheetId="3">IV.!$C$10:$H$10</definedName>
    <definedName name="InputListEnd" localSheetId="25">IX.!$G$11:$M$11</definedName>
    <definedName name="InputListEnd" localSheetId="4">V.A.!$F$10:$J$10</definedName>
    <definedName name="InputListEnd" localSheetId="5">V.B.1.!$Q$11:$AD$11</definedName>
    <definedName name="InputListEnd" localSheetId="6">V.B.2.!$G$10:$J$10</definedName>
    <definedName name="InputListEnd" localSheetId="7">V.B.3.!$Q$10:$AE$10</definedName>
    <definedName name="InputListEnd" localSheetId="8">VI.A.!$F$10:$J$10</definedName>
    <definedName name="InputListEnd" localSheetId="9">VI.B.!$I$10:$N$10</definedName>
    <definedName name="InputListEnd" localSheetId="10">VI.C.1.!$Q$10:$AE$10</definedName>
    <definedName name="InputListEnd" localSheetId="11">VI.C.2.!$N$10:$Y$10</definedName>
    <definedName name="InputListEnd" localSheetId="12">VI.C.3.!$G$10:$J$10</definedName>
    <definedName name="InputListEnd" localSheetId="13">VI.C.4.!$G$10:$K$10</definedName>
    <definedName name="InputListEnd" localSheetId="14">VI.C.5.!$M$10:$X$11</definedName>
    <definedName name="InputListEnd" localSheetId="15">VII.A.!$O$11:$AA$11</definedName>
    <definedName name="InputListEnd" localSheetId="16">VII.B.!$O$11:$AA$11</definedName>
    <definedName name="InputListEnd" localSheetId="17">VII.C.1.!$P$10:$AD$10</definedName>
    <definedName name="InputListEnd" localSheetId="18">VII.C.2.!$P$10:$AD$10</definedName>
    <definedName name="InputListEnd" localSheetId="20">VII.C.3.!$P$10:$AD$10</definedName>
    <definedName name="InputListEnd" localSheetId="21">VII.D.!$L$11:$U$11</definedName>
    <definedName name="InputListEnd" localSheetId="22">VII.E.!$M$10:$X$11</definedName>
    <definedName name="InputListEnd" localSheetId="23">VIII.A.!$H$10:$M$10</definedName>
    <definedName name="InputListEnd" localSheetId="24">VIII.B.!$G$10:$K$10</definedName>
    <definedName name="InputListEnd" localSheetId="26">X.!$E$10:$G$10</definedName>
    <definedName name="InputListEnd" localSheetId="27">XII.A.!$E$10:$G$10</definedName>
    <definedName name="InputListEnd" localSheetId="28">XII.B.!$F$10:$J$10</definedName>
    <definedName name="InputListEnd" localSheetId="29">XII.C.!$M$10:$X$11</definedName>
    <definedName name="InputListEnd" localSheetId="30">XII.D.1.!$I$11:$M$11</definedName>
    <definedName name="InputListEnd" localSheetId="31">XII.D.2.!$F$10:$H$10</definedName>
    <definedName name="InputListEnd" localSheetId="32">XII.E.1.!$I$11:$M$11</definedName>
    <definedName name="InputListEnd" localSheetId="33">XII.E.2.!$F$10:$H$10</definedName>
    <definedName name="InputListStart" localSheetId="2">'Agency Information'!$C$15:$D$15</definedName>
    <definedName name="InputListStart" localSheetId="3">IV.!$C$7:$H$7</definedName>
    <definedName name="InputListStart" localSheetId="25">IX.!$G$8:$M$8</definedName>
    <definedName name="InputListStart" localSheetId="4">V.A.!$F$7:$J$7</definedName>
    <definedName name="InputListStart" localSheetId="5">V.B.1.!$Q$8:$AD$8</definedName>
    <definedName name="InputListStart" localSheetId="6">V.B.2.!$G$7:$J$7</definedName>
    <definedName name="InputListStart" localSheetId="7">V.B.3.!$Q$7:$AE$7</definedName>
    <definedName name="InputListStart" localSheetId="8">VI.A.!$F$7:$J$7</definedName>
    <definedName name="InputListStart" localSheetId="9">VI.B.!$I$7:$N$7</definedName>
    <definedName name="InputListStart" localSheetId="10">VI.C.1.!$Q$7:$AE$7</definedName>
    <definedName name="InputListStart" localSheetId="11">VI.C.2.!$N$7:$Y$7</definedName>
    <definedName name="InputListStart" localSheetId="12">VI.C.3.!$G$7:$J$7</definedName>
    <definedName name="InputListStart" localSheetId="13">VI.C.4.!$G$7:$K$7</definedName>
    <definedName name="InputListStart" localSheetId="14">VI.C.5.!$M$7:$X$7</definedName>
    <definedName name="InputListStart" localSheetId="15">VII.A.!$O$8:$AA$8</definedName>
    <definedName name="InputListStart" localSheetId="16">VII.B.!$O$8:$AA$8</definedName>
    <definedName name="InputListStart" localSheetId="17">VII.C.1.!$P$7:$AD$7</definedName>
    <definedName name="InputListStart" localSheetId="18">VII.C.2.!$P$7:$AD$7</definedName>
    <definedName name="InputListStart" localSheetId="20">VII.C.3.!$P$7:$AD$7</definedName>
    <definedName name="InputListStart" localSheetId="21">VII.D.!$L$8:$U$8</definedName>
    <definedName name="InputListStart" localSheetId="22">VII.E.!$M$7:$X$7</definedName>
    <definedName name="InputListStart" localSheetId="23">VIII.A.!$H$7:$M$7</definedName>
    <definedName name="InputListStart" localSheetId="24">VIII.B.!$G$7:$K$7</definedName>
    <definedName name="InputListStart" localSheetId="26">X.!$E$7:$G$7</definedName>
    <definedName name="InputListStart" localSheetId="27">XII.A.!$E$7:$G$7</definedName>
    <definedName name="InputListStart" localSheetId="28">XII.B.!$F$7:$J$7</definedName>
    <definedName name="InputListStart" localSheetId="29">XII.C.!$M$7:$X$7</definedName>
    <definedName name="InputListStart" localSheetId="30">XII.D.1.!$I$8:$M$8</definedName>
    <definedName name="InputListStart" localSheetId="31">XII.D.2.!$F$7:$H$7</definedName>
    <definedName name="InputListStart" localSheetId="32">XII.E.1.!$I$8:$M$8</definedName>
    <definedName name="InputListStart" localSheetId="33">XII.E.2.!$F$7:$H$7</definedName>
    <definedName name="Instructions" localSheetId="2">'Agency Information'!#REF!</definedName>
    <definedName name="IX_Components">IX.!$G$9:$G$11</definedName>
    <definedName name="IX_Processing_Costs">IX.!$K$9:$K$11</definedName>
    <definedName name="ptrCellAbove" localSheetId="2">'Agency Information'!A1048576</definedName>
    <definedName name="ptrCellAbove" localSheetId="3">IV.!A1048576</definedName>
    <definedName name="ptrCellAbove" localSheetId="25">IX.!A1048576</definedName>
    <definedName name="ptrCellAbove" localSheetId="4">V.A.!A1048576</definedName>
    <definedName name="ptrCellAbove" localSheetId="5">V.B.1.!A1048576</definedName>
    <definedName name="ptrCellAbove" localSheetId="6">V.B.2.!A1048576</definedName>
    <definedName name="ptrCellAbove" localSheetId="7">V.B.3.!A1048576</definedName>
    <definedName name="ptrCellAbove" localSheetId="8">VI.A.!A1048576</definedName>
    <definedName name="ptrCellAbove" localSheetId="9">VI.B.!A1048576</definedName>
    <definedName name="ptrCellAbove" localSheetId="10">VI.C.1.!A1048576</definedName>
    <definedName name="ptrCellAbove" localSheetId="11">VI.C.2.!A1048576</definedName>
    <definedName name="ptrCellAbove" localSheetId="12">VI.C.3.!A1048576</definedName>
    <definedName name="ptrCellAbove" localSheetId="13">VI.C.4.!A1048576</definedName>
    <definedName name="ptrCellAbove" localSheetId="14">VI.C.5.!A1048576</definedName>
    <definedName name="ptrCellAbove" localSheetId="15">VII.A.!A1048576</definedName>
    <definedName name="ptrCellAbove" localSheetId="16">VII.B.!A1048576</definedName>
    <definedName name="ptrCellAbove" localSheetId="17">VII.C.1.!A1048576</definedName>
    <definedName name="ptrCellAbove" localSheetId="18">VII.C.2.!A1048576</definedName>
    <definedName name="ptrCellAbove" localSheetId="20">VII.C.3.!A1048576</definedName>
    <definedName name="ptrCellAbove" localSheetId="21">VII.D.!A1048576</definedName>
    <definedName name="ptrCellAbove" localSheetId="22">VII.E.!A1048576</definedName>
    <definedName name="ptrCellAbove" localSheetId="23">VIII.A.!A1048576</definedName>
    <definedName name="ptrCellAbove" localSheetId="24">VIII.B.!A1048576</definedName>
    <definedName name="ptrCellAbove" localSheetId="26">X.!A1048576</definedName>
    <definedName name="ptrCellAbove" localSheetId="27">XII.A.!A1048576</definedName>
    <definedName name="ptrCellAbove" localSheetId="28">XII.B.!A1048576</definedName>
    <definedName name="ptrCellAbove" localSheetId="29">XII.C.!A1048576</definedName>
    <definedName name="ptrCellAbove" localSheetId="30">XII.D.1.!A1048576</definedName>
    <definedName name="ptrCellAbove" localSheetId="31">XII.D.2.!A1048576</definedName>
    <definedName name="ptrCellAbove" localSheetId="32">XII.E.1.!A1048576</definedName>
    <definedName name="ptrCellAbove" localSheetId="33">XII.E.2.!A1048576</definedName>
    <definedName name="ptrLastInColumn" localSheetId="14">VI.C.5.!N1048576</definedName>
    <definedName name="ptrLastInColumn" localSheetId="22">VII.E.!N1048576</definedName>
    <definedName name="ptrLastInColumn" localSheetId="29">XII.C.!N1048576</definedName>
    <definedName name="RibbonOverrideFile">"\\local.ncd.gov\ncd\Redirected\anicholas\My Documents\FOIA_Annual_Report_v1.3.2\tools\FoiaRibbonOverride-v2.xlam"</definedName>
    <definedName name="setEnableSelect" localSheetId="2">1</definedName>
    <definedName name="setEnableSelect" localSheetId="35">0</definedName>
    <definedName name="setEnableSelect" localSheetId="1">0</definedName>
    <definedName name="setEnableSelect" localSheetId="3">1</definedName>
    <definedName name="setEnableSelect" localSheetId="25">1</definedName>
    <definedName name="setEnableSelect" localSheetId="0">0</definedName>
    <definedName name="setEnableSelect" localSheetId="4">1</definedName>
    <definedName name="setEnableSelect" localSheetId="5">1</definedName>
    <definedName name="setEnableSelect" localSheetId="6">1</definedName>
    <definedName name="setEnableSelect" localSheetId="7">1</definedName>
    <definedName name="setEnableSelect" localSheetId="8">1</definedName>
    <definedName name="setEnableSelect" localSheetId="9">1</definedName>
    <definedName name="setEnableSelect" localSheetId="10">1</definedName>
    <definedName name="setEnableSelect" localSheetId="11">1</definedName>
    <definedName name="setEnableSelect" localSheetId="12">1</definedName>
    <definedName name="setEnableSelect" localSheetId="13">1</definedName>
    <definedName name="setEnableSelect" localSheetId="14">1</definedName>
    <definedName name="setEnableSelect" localSheetId="15">1</definedName>
    <definedName name="setEnableSelect" localSheetId="16">1</definedName>
    <definedName name="setEnableSelect" localSheetId="17">1</definedName>
    <definedName name="setEnableSelect" localSheetId="18">1</definedName>
    <definedName name="setEnableSelect" localSheetId="20">1</definedName>
    <definedName name="setEnableSelect" localSheetId="21">1</definedName>
    <definedName name="setEnableSelect" localSheetId="22">1</definedName>
    <definedName name="setEnableSelect" localSheetId="23">1</definedName>
    <definedName name="setEnableSelect" localSheetId="24">1</definedName>
    <definedName name="setEnableSelect" localSheetId="34">0</definedName>
    <definedName name="setEnableSelect" localSheetId="26">1</definedName>
    <definedName name="setEnableSelect" localSheetId="27">1</definedName>
    <definedName name="setEnableSelect" localSheetId="28">1</definedName>
    <definedName name="setEnableSelect" localSheetId="29">1</definedName>
    <definedName name="setEnableSelect" localSheetId="30">1</definedName>
    <definedName name="setEnableSelect" localSheetId="31">1</definedName>
    <definedName name="setEnableSelect" localSheetId="32">1</definedName>
    <definedName name="setEnableSelect" localSheetId="33">1</definedName>
    <definedName name="setProgCols" localSheetId="2">1</definedName>
    <definedName name="setProgCols" localSheetId="35">0</definedName>
    <definedName name="setProgCols" localSheetId="1">0</definedName>
    <definedName name="setProgCols" localSheetId="3">1</definedName>
    <definedName name="setProgCols" localSheetId="25">5</definedName>
    <definedName name="setProgCols" localSheetId="0">0</definedName>
    <definedName name="setProgCols" localSheetId="4">4</definedName>
    <definedName name="setProgCols" localSheetId="5">15</definedName>
    <definedName name="setProgCols" localSheetId="6">5</definedName>
    <definedName name="setProgCols" localSheetId="7">15</definedName>
    <definedName name="setProgCols" localSheetId="8">4</definedName>
    <definedName name="setProgCols" localSheetId="9">7</definedName>
    <definedName name="setProgCols" localSheetId="10">15</definedName>
    <definedName name="setProgCols" localSheetId="11">12</definedName>
    <definedName name="setProgCols" localSheetId="12">5</definedName>
    <definedName name="setProgCols" localSheetId="13">5</definedName>
    <definedName name="setProgCols" localSheetId="14">11</definedName>
    <definedName name="setProgCols" localSheetId="15">13</definedName>
    <definedName name="setProgCols" localSheetId="16">13</definedName>
    <definedName name="setProgCols" localSheetId="17">14</definedName>
    <definedName name="setProgCols" localSheetId="18">14</definedName>
    <definedName name="setProgCols" localSheetId="20">14</definedName>
    <definedName name="setProgCols" localSheetId="21">10</definedName>
    <definedName name="setProgCols" localSheetId="22">11</definedName>
    <definedName name="setProgCols" localSheetId="23">6</definedName>
    <definedName name="setProgCols" localSheetId="24">5</definedName>
    <definedName name="setProgCols" localSheetId="34">0</definedName>
    <definedName name="setProgCols" localSheetId="26">3</definedName>
    <definedName name="setProgCols" localSheetId="27">3</definedName>
    <definedName name="setProgCols" localSheetId="28">4</definedName>
    <definedName name="setProgCols" localSheetId="29">11</definedName>
    <definedName name="setProgCols" localSheetId="30">7</definedName>
    <definedName name="setProgCols" localSheetId="31">4</definedName>
    <definedName name="setProgCols" localSheetId="32">7</definedName>
    <definedName name="setProgCols" localSheetId="33">4</definedName>
    <definedName name="setProgRows" localSheetId="2">1</definedName>
    <definedName name="setProgRows" localSheetId="35">0</definedName>
    <definedName name="setProgRows" localSheetId="1">0</definedName>
    <definedName name="setProgRows" localSheetId="3">1</definedName>
    <definedName name="setProgRows" localSheetId="25">1</definedName>
    <definedName name="setProgRows" localSheetId="0">0</definedName>
    <definedName name="setProgRows" localSheetId="4">1</definedName>
    <definedName name="setProgRows" localSheetId="5">1</definedName>
    <definedName name="setProgRows" localSheetId="6">1</definedName>
    <definedName name="setProgRows" localSheetId="7">1</definedName>
    <definedName name="setProgRows" localSheetId="8">1</definedName>
    <definedName name="setProgRows" localSheetId="9">1</definedName>
    <definedName name="setProgRows" localSheetId="10">1</definedName>
    <definedName name="setProgRows" localSheetId="11">1</definedName>
    <definedName name="setProgRows" localSheetId="12">1</definedName>
    <definedName name="setProgRows" localSheetId="13">1</definedName>
    <definedName name="setProgRows" localSheetId="14">1</definedName>
    <definedName name="setProgRows" localSheetId="15">1</definedName>
    <definedName name="setProgRows" localSheetId="16">1</definedName>
    <definedName name="setProgRows" localSheetId="17">1</definedName>
    <definedName name="setProgRows" localSheetId="18">1</definedName>
    <definedName name="setProgRows" localSheetId="20">1</definedName>
    <definedName name="setProgRows" localSheetId="21">1</definedName>
    <definedName name="setProgRows" localSheetId="22">1</definedName>
    <definedName name="setProgRows" localSheetId="23">1</definedName>
    <definedName name="setProgRows" localSheetId="24">1</definedName>
    <definedName name="setProgRows" localSheetId="34">0</definedName>
    <definedName name="setProgRows" localSheetId="26">1</definedName>
    <definedName name="setProgRows" localSheetId="27">1</definedName>
    <definedName name="setProgRows" localSheetId="28">1</definedName>
    <definedName name="setProgRows" localSheetId="29">1</definedName>
    <definedName name="setProgRows" localSheetId="30">1</definedName>
    <definedName name="setProgRows" localSheetId="31">1</definedName>
    <definedName name="setProgRows" localSheetId="32">1</definedName>
    <definedName name="setProgRows" localSheetId="33">1</definedName>
    <definedName name="setProtect" localSheetId="2">TRUE</definedName>
    <definedName name="setProtect" localSheetId="35">FALSE</definedName>
    <definedName name="setProtect" localSheetId="1">TRUE</definedName>
    <definedName name="setProtect" localSheetId="3">TRUE</definedName>
    <definedName name="setProtect" localSheetId="25">TRUE</definedName>
    <definedName name="setProtect" localSheetId="0">TRUE</definedName>
    <definedName name="setProtect" localSheetId="4">TRUE</definedName>
    <definedName name="setProtect" localSheetId="5">TRUE</definedName>
    <definedName name="setProtect" localSheetId="6">TRUE</definedName>
    <definedName name="setProtect" localSheetId="7">TRUE</definedName>
    <definedName name="setProtect" localSheetId="8">TRUE</definedName>
    <definedName name="setProtect" localSheetId="9">TRUE</definedName>
    <definedName name="setProtect" localSheetId="10">TRUE</definedName>
    <definedName name="setProtect" localSheetId="11">TRUE</definedName>
    <definedName name="setProtect" localSheetId="12">TRUE</definedName>
    <definedName name="setProtect" localSheetId="13">TRUE</definedName>
    <definedName name="setProtect" localSheetId="14">TRUE</definedName>
    <definedName name="setProtect" localSheetId="15">TRUE</definedName>
    <definedName name="setProtect" localSheetId="16">TRUE</definedName>
    <definedName name="setProtect" localSheetId="17">TRUE</definedName>
    <definedName name="setProtect" localSheetId="18">TRUE</definedName>
    <definedName name="setProtect" localSheetId="20">TRUE</definedName>
    <definedName name="setProtect" localSheetId="21">TRUE</definedName>
    <definedName name="setProtect" localSheetId="22">TRUE</definedName>
    <definedName name="setProtect" localSheetId="23">TRUE</definedName>
    <definedName name="setProtect" localSheetId="24">TRUE</definedName>
    <definedName name="setProtect" localSheetId="34">FALSE</definedName>
    <definedName name="setProtect" localSheetId="26">TRUE</definedName>
    <definedName name="setProtect" localSheetId="27">TRUE</definedName>
    <definedName name="setProtect" localSheetId="28">TRUE</definedName>
    <definedName name="setProtect" localSheetId="29">TRUE</definedName>
    <definedName name="setProtect" localSheetId="30">TRUE</definedName>
    <definedName name="setProtect" localSheetId="31">TRUE</definedName>
    <definedName name="setProtect" localSheetId="32">TRUE</definedName>
    <definedName name="setProtect" localSheetId="33">TRUE</definedName>
    <definedName name="setRowColHeaders" localSheetId="2">FALSE</definedName>
    <definedName name="setRowColHeaders" localSheetId="35">TRUE</definedName>
    <definedName name="setRowColHeaders" localSheetId="1">FALSE</definedName>
    <definedName name="setRowColHeaders" localSheetId="3">FALSE</definedName>
    <definedName name="setRowColHeaders" localSheetId="25">FALSE</definedName>
    <definedName name="setRowColHeaders" localSheetId="0">FALSE</definedName>
    <definedName name="setRowColHeaders" localSheetId="4">FALSE</definedName>
    <definedName name="setRowColHeaders" localSheetId="5">FALSE</definedName>
    <definedName name="setRowColHeaders" localSheetId="6">FALSE</definedName>
    <definedName name="setRowColHeaders" localSheetId="7">FALSE</definedName>
    <definedName name="setRowColHeaders" localSheetId="8">FALSE</definedName>
    <definedName name="setRowColHeaders" localSheetId="9">FALSE</definedName>
    <definedName name="setRowColHeaders" localSheetId="10">FALSE</definedName>
    <definedName name="setRowColHeaders" localSheetId="11">FALSE</definedName>
    <definedName name="setRowColHeaders" localSheetId="12">FALSE</definedName>
    <definedName name="setRowColHeaders" localSheetId="13">FALSE</definedName>
    <definedName name="setRowColHeaders" localSheetId="14">FALSE</definedName>
    <definedName name="setRowColHeaders" localSheetId="15">FALSE</definedName>
    <definedName name="setRowColHeaders" localSheetId="16">FALSE</definedName>
    <definedName name="setRowColHeaders" localSheetId="17">FALSE</definedName>
    <definedName name="setRowColHeaders" localSheetId="18">FALSE</definedName>
    <definedName name="setRowColHeaders" localSheetId="20">FALSE</definedName>
    <definedName name="setRowColHeaders" localSheetId="21">FALSE</definedName>
    <definedName name="setRowColHeaders" localSheetId="22">FALSE</definedName>
    <definedName name="setRowColHeaders" localSheetId="23">FALSE</definedName>
    <definedName name="setRowColHeaders" localSheetId="24">FALSE</definedName>
    <definedName name="setRowColHeaders" localSheetId="34">TRUE</definedName>
    <definedName name="setRowColHeaders" localSheetId="26">FALSE</definedName>
    <definedName name="setRowColHeaders" localSheetId="27">FALSE</definedName>
    <definedName name="setRowColHeaders" localSheetId="28">FALSE</definedName>
    <definedName name="setRowColHeaders" localSheetId="29">FALSE</definedName>
    <definedName name="setRowColHeaders" localSheetId="30">FALSE</definedName>
    <definedName name="setRowColHeaders" localSheetId="31">FALSE</definedName>
    <definedName name="setRowColHeaders" localSheetId="32">FALSE</definedName>
    <definedName name="setRowColHeaders" localSheetId="33">FALSE</definedName>
    <definedName name="setScrollArea" localSheetId="2">'Agency Information'!$A$1:$E$19</definedName>
    <definedName name="setScrollArea" localSheetId="1">Instructions!$A$1:$M$55</definedName>
    <definedName name="setScrollArea" localSheetId="3">IV.!$A$1:$I$17</definedName>
    <definedName name="setScrollArea" localSheetId="25">IX.!$A$1:$N$18</definedName>
    <definedName name="setScrollArea" localSheetId="0">'Macro Instructions'!$A$1:$M$41</definedName>
    <definedName name="setScrollArea" localSheetId="4">V.A.!$A$1:$K$18</definedName>
    <definedName name="setScrollArea" localSheetId="5">V.B.1.!$A$1:$AE$19</definedName>
    <definedName name="setScrollArea" localSheetId="6">V.B.2.!$A$1:$K$17</definedName>
    <definedName name="setScrollArea" localSheetId="7">V.B.3.!$A$1:$AF$18</definedName>
    <definedName name="setScrollArea" localSheetId="8">VI.A.!$A$1:$K$18</definedName>
    <definedName name="setScrollArea" localSheetId="9">VI.B.!$A$1:$O$18</definedName>
    <definedName name="setScrollArea" localSheetId="10">VI.C.1.!$A$1:$AF$18</definedName>
    <definedName name="setScrollArea" localSheetId="11">VI.C.2.!$A$1:$Z$18</definedName>
    <definedName name="setScrollArea" localSheetId="12">VI.C.3.!$A$1:$K$17</definedName>
    <definedName name="setScrollArea" localSheetId="13">VI.C.4.!$A$1:$L$18</definedName>
    <definedName name="setScrollArea" localSheetId="14">VI.C.5.!$A$1:$Y$19</definedName>
    <definedName name="setScrollArea" localSheetId="15">VII.A.!$A$1:$AB$19</definedName>
    <definedName name="setScrollArea" localSheetId="16">VII.B.!$A$1:$AB$19</definedName>
    <definedName name="setScrollArea" localSheetId="17">VII.C.1.!$A$1:$AE$18</definedName>
    <definedName name="setScrollArea" localSheetId="18">VII.C.2.!$A$1:$AE$18</definedName>
    <definedName name="setScrollArea" localSheetId="20">VII.C.3.!$A$1:$AE$18</definedName>
    <definedName name="setScrollArea" localSheetId="21">VII.D.!$A$1:$V$19</definedName>
    <definedName name="setScrollArea" localSheetId="22">VII.E.!$A$1:$Y$19</definedName>
    <definedName name="setScrollArea" localSheetId="23">VIII.A.!$A$1:$N$17</definedName>
    <definedName name="setScrollArea" localSheetId="24">VIII.B.!$A$1:$L$17</definedName>
    <definedName name="setScrollArea" localSheetId="26">X.!$A$1:$H$17</definedName>
    <definedName name="setScrollArea" localSheetId="27">XII.A.!$A$1:$K$17</definedName>
    <definedName name="setScrollArea" localSheetId="28">XII.B.!$A$1:$K$18</definedName>
    <definedName name="setScrollArea" localSheetId="29">XII.C.!$A$1:$Y$19</definedName>
    <definedName name="setScrollArea" localSheetId="30">XII.D.1.!$A$1:$N$18</definedName>
    <definedName name="setScrollArea" localSheetId="31">XII.D.2.!$A$1:$M$17</definedName>
    <definedName name="setScrollArea" localSheetId="32">XII.E.1.!$A$1:$N$18</definedName>
    <definedName name="setScrollArea" localSheetId="33">XII.E.2.!$A$1:$M$17</definedName>
    <definedName name="setVisible" localSheetId="2">TRUE</definedName>
    <definedName name="setVisible" localSheetId="35">FALSE</definedName>
    <definedName name="setVisible" localSheetId="1">TRUE</definedName>
    <definedName name="setVisible" localSheetId="3">TRUE</definedName>
    <definedName name="setVisible" localSheetId="25">TRUE</definedName>
    <definedName name="setVisible" localSheetId="0">TRUE</definedName>
    <definedName name="setVisible" localSheetId="4">TRUE</definedName>
    <definedName name="setVisible" localSheetId="5">TRUE</definedName>
    <definedName name="setVisible" localSheetId="6">TRUE</definedName>
    <definedName name="setVisible" localSheetId="7">TRUE</definedName>
    <definedName name="setVisible" localSheetId="8">TRUE</definedName>
    <definedName name="setVisible" localSheetId="9">TRUE</definedName>
    <definedName name="setVisible" localSheetId="10">TRUE</definedName>
    <definedName name="setVisible" localSheetId="11">TRUE</definedName>
    <definedName name="setVisible" localSheetId="12">TRUE</definedName>
    <definedName name="setVisible" localSheetId="13">TRUE</definedName>
    <definedName name="setVisible" localSheetId="14">TRUE</definedName>
    <definedName name="setVisible" localSheetId="15">TRUE</definedName>
    <definedName name="setVisible" localSheetId="16">TRUE</definedName>
    <definedName name="setVisible" localSheetId="17">TRUE</definedName>
    <definedName name="setVisible" localSheetId="18">TRUE</definedName>
    <definedName name="setVisible" localSheetId="20">TRUE</definedName>
    <definedName name="setVisible" localSheetId="21">TRUE</definedName>
    <definedName name="setVisible" localSheetId="22">TRUE</definedName>
    <definedName name="setVisible" localSheetId="23">TRUE</definedName>
    <definedName name="setVisible" localSheetId="24">TRUE</definedName>
    <definedName name="setVisible" localSheetId="34">FALSE</definedName>
    <definedName name="setVisible" localSheetId="26">TRUE</definedName>
    <definedName name="setVisible" localSheetId="27">TRUE</definedName>
    <definedName name="setVisible" localSheetId="28">TRUE</definedName>
    <definedName name="setVisible" localSheetId="29">TRUE</definedName>
    <definedName name="setVisible" localSheetId="30">TRUE</definedName>
    <definedName name="setVisible" localSheetId="31">TRUE</definedName>
    <definedName name="setVisible" localSheetId="32">TRUE</definedName>
    <definedName name="setVisible" localSheetId="33">TRUE</definedName>
    <definedName name="SheetError" localSheetId="2">'Agency Information'!$A$18</definedName>
    <definedName name="SheetError" localSheetId="3">IV.!$A$10</definedName>
    <definedName name="SheetError" localSheetId="25">IX.!$A$12</definedName>
    <definedName name="SheetError" localSheetId="4">V.A.!$A$11</definedName>
    <definedName name="SheetError" localSheetId="5">V.B.1.!$A$13</definedName>
    <definedName name="SheetError" localSheetId="6">V.B.2.!$A$12</definedName>
    <definedName name="SheetError" localSheetId="7">V.B.3.!$A$11</definedName>
    <definedName name="SheetError" localSheetId="8">VI.A.!$A$11</definedName>
    <definedName name="SheetError" localSheetId="9">VI.B.!$A$11</definedName>
    <definedName name="SheetError" localSheetId="10">VI.C.1.!$A$11</definedName>
    <definedName name="SheetError" localSheetId="11">VI.C.2.!$A$11</definedName>
    <definedName name="SheetError" localSheetId="12">VI.C.3.!$A$12</definedName>
    <definedName name="SheetError" localSheetId="13">VI.C.4.!$A$11</definedName>
    <definedName name="SheetError" localSheetId="14">VI.C.5.!$A$12</definedName>
    <definedName name="SheetError" localSheetId="15">VII.A.!$A$12</definedName>
    <definedName name="SheetError" localSheetId="16">VII.B.!$A$12</definedName>
    <definedName name="SheetError" localSheetId="17">VII.C.1.!$A$11</definedName>
    <definedName name="SheetError" localSheetId="18">VII.C.2.!$A$11</definedName>
    <definedName name="SheetError" localSheetId="20">VII.C.3.!$A$11</definedName>
    <definedName name="SheetError" localSheetId="21">VII.D.!$A$12</definedName>
    <definedName name="SheetError" localSheetId="22">VII.E.!$A$12</definedName>
    <definedName name="SheetError" localSheetId="23">VIII.A.!$A$11</definedName>
    <definedName name="SheetError" localSheetId="24">VIII.B.!$A$11</definedName>
    <definedName name="SheetError" localSheetId="26">X.!$A$11</definedName>
    <definedName name="SheetError" localSheetId="27">XII.A.!$A$11</definedName>
    <definedName name="SheetError" localSheetId="28">XII.B.!$A$11</definedName>
    <definedName name="SheetError" localSheetId="29">XII.C.!$A$12</definedName>
    <definedName name="SheetError" localSheetId="30">XII.D.1.!$A$12</definedName>
    <definedName name="SheetError" localSheetId="31">XII.D.2.!$A$11</definedName>
    <definedName name="SheetError" localSheetId="32">XII.E.1.!$A$12</definedName>
    <definedName name="SheetError" localSheetId="33">XII.E.2.!$A$11</definedName>
    <definedName name="tblRangeNames" localSheetId="34">OFFSET(wksUISettings!$A$1,0,1,1,COUNTA(wksUISettings!$1:$1)-1)</definedName>
    <definedName name="tblSheetNames" localSheetId="34">OFFSET(wksUISettings!$A$1,1,0,COUNTA(wksUISettings!$A:$A)-1,1)</definedName>
    <definedName name="V_A_Components" localSheetId="28">XII.B.!$F$8:$F$10</definedName>
    <definedName name="V_A_Components">V.A.!$F$8:$F$10</definedName>
    <definedName name="V_A_Processed" localSheetId="28">XII.B.!$I$8:$I$10</definedName>
    <definedName name="V_A_Processed">V.A.!$I$8:$I$10</definedName>
    <definedName name="V_A_Received">V.A.!$H$8:$H$10</definedName>
    <definedName name="V_B_1_Components">V.B.1.!$Q$9:$Q$11</definedName>
    <definedName name="V_B_1_Other">V.B.1.!$AC$9:$AC$11</definedName>
    <definedName name="VI_A_Components">VI.A.!$F$8:$F$10</definedName>
    <definedName name="VI_A_Processed">VI.A.!$I$8:$I$10</definedName>
    <definedName name="VI_A_Received">VI.A.!$H$8:$H$10</definedName>
    <definedName name="VI_B_Components">VI.B.!$I$8:$I$10</definedName>
    <definedName name="VI_C_2_Components">VI.C.2.!$N$8:$N$10</definedName>
    <definedName name="VI_C_2_Other">VI.C.2.!$Y$8:$Y$10</definedName>
    <definedName name="Workbook_ID">"FOIA Annual Report Workbook"</definedName>
    <definedName name="XII_A_BackloggedAppeals">XII.A.!$G$8:$G$10</definedName>
    <definedName name="XII_A_BackloggedRequests">XII.A.!$F$8:$F$10</definedName>
    <definedName name="XII_A_Components">XII.A.!$E$8:$E$10</definedName>
    <definedName name="xlNoRestrictions" localSheetId="34">0</definedName>
    <definedName name="xlNoSelection" localSheetId="34">-4142</definedName>
    <definedName name="xlUnlockedCells" localSheetId="34">1</definedName>
  </definedNames>
  <calcPr calcId="171027"/>
</workbook>
</file>

<file path=xl/calcChain.xml><?xml version="1.0" encoding="utf-8"?>
<calcChain xmlns="http://schemas.openxmlformats.org/spreadsheetml/2006/main">
  <c r="J8" i="19" l="1"/>
  <c r="J8" i="12"/>
  <c r="H8" i="4"/>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D2" i="2"/>
  <c r="H10" i="44"/>
  <c r="G10" i="44"/>
  <c r="D9" i="44"/>
  <c r="C9" i="44" s="1"/>
  <c r="A9" i="44"/>
  <c r="D8" i="44"/>
  <c r="C8" i="44" s="1"/>
  <c r="A8" i="44"/>
  <c r="M11" i="43"/>
  <c r="L11" i="43"/>
  <c r="K11" i="43"/>
  <c r="J11" i="43"/>
  <c r="B9" i="44"/>
  <c r="B8" i="44"/>
  <c r="G10" i="43" l="1"/>
  <c r="F10" i="43"/>
  <c r="A10" i="43"/>
  <c r="G9" i="43"/>
  <c r="F9" i="43"/>
  <c r="A9" i="43"/>
  <c r="H10" i="42"/>
  <c r="G10" i="42"/>
  <c r="D9" i="42"/>
  <c r="C9" i="42" s="1"/>
  <c r="A9" i="42"/>
  <c r="D8" i="42"/>
  <c r="C8" i="42" s="1"/>
  <c r="A8" i="42"/>
  <c r="M11" i="40"/>
  <c r="L11" i="40"/>
  <c r="K11" i="40"/>
  <c r="J11" i="40"/>
  <c r="G10" i="40"/>
  <c r="F10" i="40"/>
  <c r="A10" i="40"/>
  <c r="G9" i="40"/>
  <c r="F9" i="40"/>
  <c r="A9" i="40"/>
  <c r="A10" i="39"/>
  <c r="A8" i="39"/>
  <c r="I10" i="38"/>
  <c r="H10" i="38"/>
  <c r="G10" i="38"/>
  <c r="J9" i="38"/>
  <c r="A9" i="38"/>
  <c r="J8" i="38"/>
  <c r="J10" i="38" s="1"/>
  <c r="A8" i="38"/>
  <c r="G10" i="36"/>
  <c r="D10" i="44" s="1"/>
  <c r="C10" i="44" s="1"/>
  <c r="A11" i="44" s="1"/>
  <c r="F10" i="36"/>
  <c r="A9" i="36"/>
  <c r="A8" i="36"/>
  <c r="F10" i="35"/>
  <c r="C9" i="35"/>
  <c r="A9" i="35"/>
  <c r="C8" i="35"/>
  <c r="A8" i="35"/>
  <c r="H11" i="39"/>
  <c r="K8" i="39"/>
  <c r="E9" i="39"/>
  <c r="B11" i="39"/>
  <c r="K11" i="39"/>
  <c r="B8" i="36"/>
  <c r="C9" i="36"/>
  <c r="K9" i="39"/>
  <c r="D9" i="40"/>
  <c r="C8" i="39"/>
  <c r="B9" i="35"/>
  <c r="C9" i="38"/>
  <c r="C9" i="39"/>
  <c r="B10" i="43"/>
  <c r="J9" i="39"/>
  <c r="B8" i="38"/>
  <c r="I8" i="39"/>
  <c r="D8" i="38"/>
  <c r="F8" i="39"/>
  <c r="I10" i="39"/>
  <c r="B8" i="35"/>
  <c r="I9" i="39"/>
  <c r="J11" i="39"/>
  <c r="I11" i="39"/>
  <c r="F11" i="39"/>
  <c r="B10" i="40"/>
  <c r="G10" i="39"/>
  <c r="B9" i="42"/>
  <c r="E10" i="39"/>
  <c r="B9" i="40"/>
  <c r="F10" i="39"/>
  <c r="D8" i="39"/>
  <c r="C11" i="39"/>
  <c r="J10" i="39"/>
  <c r="H9" i="39"/>
  <c r="B10" i="39"/>
  <c r="J8" i="39"/>
  <c r="D9" i="43"/>
  <c r="C8" i="36"/>
  <c r="B9" i="36"/>
  <c r="D10" i="39"/>
  <c r="F9" i="39"/>
  <c r="G8" i="39"/>
  <c r="B9" i="43"/>
  <c r="H8" i="39"/>
  <c r="D11" i="39"/>
  <c r="D10" i="40"/>
  <c r="D9" i="38"/>
  <c r="D9" i="39"/>
  <c r="B8" i="39"/>
  <c r="D10" i="43"/>
  <c r="K10" i="39"/>
  <c r="B9" i="39"/>
  <c r="E8" i="39"/>
  <c r="C8" i="38"/>
  <c r="G9" i="39"/>
  <c r="H10" i="39"/>
  <c r="E11" i="39"/>
  <c r="G11" i="39"/>
  <c r="B8" i="42"/>
  <c r="B9" i="38"/>
  <c r="C10" i="39"/>
  <c r="E9" i="43" l="1"/>
  <c r="A12" i="39"/>
  <c r="A11" i="38"/>
  <c r="G8" i="35"/>
  <c r="A11" i="36"/>
  <c r="A11" i="35"/>
  <c r="C9" i="43"/>
  <c r="E10" i="40"/>
  <c r="C10" i="40"/>
  <c r="D10" i="42"/>
  <c r="C10" i="42" s="1"/>
  <c r="A11" i="42" s="1"/>
  <c r="C10" i="43"/>
  <c r="E9" i="40"/>
  <c r="C9" i="40"/>
  <c r="E10" i="43"/>
  <c r="L11" i="34"/>
  <c r="K11" i="34"/>
  <c r="C10" i="35" s="1"/>
  <c r="I11" i="34"/>
  <c r="H11" i="34"/>
  <c r="M10" i="34"/>
  <c r="J10" i="34"/>
  <c r="J11" i="34" s="1"/>
  <c r="A10" i="34"/>
  <c r="M9" i="34"/>
  <c r="M11" i="34" s="1"/>
  <c r="J9" i="34"/>
  <c r="A9" i="34"/>
  <c r="A10" i="32"/>
  <c r="A9" i="32"/>
  <c r="A8" i="32"/>
  <c r="A9" i="31"/>
  <c r="A8" i="31"/>
  <c r="A10" i="30"/>
  <c r="A8" i="30"/>
  <c r="A10" i="29"/>
  <c r="A9" i="29"/>
  <c r="AC10" i="28"/>
  <c r="AB10" i="28"/>
  <c r="AA10" i="28"/>
  <c r="Z10" i="28"/>
  <c r="Y10" i="28"/>
  <c r="X10" i="28"/>
  <c r="W10" i="28"/>
  <c r="V10" i="28"/>
  <c r="U10" i="28"/>
  <c r="T10" i="28"/>
  <c r="S10" i="28"/>
  <c r="R10" i="28"/>
  <c r="Q10" i="28"/>
  <c r="AD9" i="28"/>
  <c r="A9" i="28"/>
  <c r="AD8" i="28"/>
  <c r="AD10" i="28" s="1"/>
  <c r="A8" i="28"/>
  <c r="AC10" i="27"/>
  <c r="AB10" i="27"/>
  <c r="AA10" i="27"/>
  <c r="Z10" i="27"/>
  <c r="Y10" i="27"/>
  <c r="X10" i="27"/>
  <c r="W10" i="27"/>
  <c r="V10" i="27"/>
  <c r="U10" i="27"/>
  <c r="T10" i="27"/>
  <c r="S10" i="27"/>
  <c r="R10" i="27"/>
  <c r="Q10" i="27"/>
  <c r="AD9" i="27"/>
  <c r="A9" i="27"/>
  <c r="AD8" i="27"/>
  <c r="A8" i="27"/>
  <c r="AC10" i="25"/>
  <c r="AB10" i="25"/>
  <c r="AA10" i="25"/>
  <c r="Z10" i="25"/>
  <c r="Y10" i="25"/>
  <c r="X10" i="25"/>
  <c r="W10" i="25"/>
  <c r="V10" i="25"/>
  <c r="U10" i="25"/>
  <c r="T10" i="25"/>
  <c r="S10" i="25"/>
  <c r="R10" i="25"/>
  <c r="Q10" i="25"/>
  <c r="AD9" i="25"/>
  <c r="A9" i="25"/>
  <c r="AD8" i="25"/>
  <c r="A8" i="25"/>
  <c r="A10" i="23"/>
  <c r="A9" i="23"/>
  <c r="A10" i="22"/>
  <c r="A9" i="22"/>
  <c r="A10" i="21"/>
  <c r="A8" i="21"/>
  <c r="A9" i="20"/>
  <c r="A8" i="20"/>
  <c r="J10" i="19"/>
  <c r="E8" i="19"/>
  <c r="D8" i="19" s="1"/>
  <c r="A8" i="19"/>
  <c r="Y10" i="18"/>
  <c r="X10" i="18"/>
  <c r="W10" i="18"/>
  <c r="V10" i="18"/>
  <c r="U10" i="18"/>
  <c r="T10" i="18"/>
  <c r="S10" i="18"/>
  <c r="R10" i="18"/>
  <c r="Q10" i="18"/>
  <c r="P10" i="18"/>
  <c r="O10" i="18"/>
  <c r="A9" i="18"/>
  <c r="A8" i="18"/>
  <c r="AE10" i="17"/>
  <c r="AD10" i="17"/>
  <c r="AC10" i="17"/>
  <c r="AB10" i="17"/>
  <c r="AA10" i="17"/>
  <c r="Z10" i="17"/>
  <c r="Y10" i="17"/>
  <c r="X10" i="17"/>
  <c r="W10" i="17"/>
  <c r="V10" i="17"/>
  <c r="U10" i="17"/>
  <c r="T10" i="17"/>
  <c r="S10" i="17"/>
  <c r="R10" i="17"/>
  <c r="A9" i="17"/>
  <c r="A8" i="17"/>
  <c r="M10" i="15"/>
  <c r="L10" i="15"/>
  <c r="K10" i="15"/>
  <c r="J10" i="15"/>
  <c r="N9" i="15"/>
  <c r="F9" i="15"/>
  <c r="A9" i="15"/>
  <c r="N8" i="15"/>
  <c r="F8" i="15"/>
  <c r="A8" i="15"/>
  <c r="I10" i="14"/>
  <c r="G11" i="43" s="1"/>
  <c r="H10" i="14"/>
  <c r="G10" i="14"/>
  <c r="J9" i="14"/>
  <c r="A9" i="14"/>
  <c r="J8" i="14"/>
  <c r="A8" i="14"/>
  <c r="AE10" i="7"/>
  <c r="AD10" i="7"/>
  <c r="AC10" i="7"/>
  <c r="AB10" i="7"/>
  <c r="AA10" i="7"/>
  <c r="Z10" i="7"/>
  <c r="Y10" i="7"/>
  <c r="X10" i="7"/>
  <c r="W10" i="7"/>
  <c r="V10" i="7"/>
  <c r="U10" i="7"/>
  <c r="T10" i="7"/>
  <c r="S10" i="7"/>
  <c r="R10" i="7"/>
  <c r="A9" i="7"/>
  <c r="A8" i="7"/>
  <c r="L10" i="23"/>
  <c r="B8" i="28"/>
  <c r="C9" i="28"/>
  <c r="E11" i="30"/>
  <c r="F8" i="7"/>
  <c r="E9" i="29"/>
  <c r="I11" i="30"/>
  <c r="G9" i="27"/>
  <c r="B9" i="14"/>
  <c r="L11" i="22"/>
  <c r="J9" i="25"/>
  <c r="L8" i="27"/>
  <c r="B10" i="34"/>
  <c r="G8" i="17"/>
  <c r="D10" i="32"/>
  <c r="C9" i="30"/>
  <c r="F9" i="28"/>
  <c r="N8" i="27"/>
  <c r="D8" i="14"/>
  <c r="D9" i="21"/>
  <c r="K9" i="23"/>
  <c r="K10" i="30"/>
  <c r="J8" i="28"/>
  <c r="J11" i="29"/>
  <c r="E8" i="21"/>
  <c r="H8" i="17"/>
  <c r="C8" i="7"/>
  <c r="E9" i="21"/>
  <c r="B10" i="32"/>
  <c r="E11" i="23"/>
  <c r="F9" i="21"/>
  <c r="J10" i="29"/>
  <c r="B9" i="15"/>
  <c r="B9" i="18"/>
  <c r="B8" i="19"/>
  <c r="E8" i="32"/>
  <c r="D10" i="21"/>
  <c r="J11" i="23"/>
  <c r="C9" i="17"/>
  <c r="J9" i="7"/>
  <c r="E8" i="28"/>
  <c r="H11" i="29"/>
  <c r="I9" i="23"/>
  <c r="D10" i="23"/>
  <c r="K11" i="23"/>
  <c r="H10" i="22"/>
  <c r="H9" i="29"/>
  <c r="G8" i="18"/>
  <c r="G9" i="30"/>
  <c r="B9" i="22"/>
  <c r="G11" i="30"/>
  <c r="C10" i="31"/>
  <c r="E9" i="17"/>
  <c r="M10" i="23"/>
  <c r="N9" i="28"/>
  <c r="J9" i="21"/>
  <c r="I8" i="7"/>
  <c r="I10" i="21"/>
  <c r="I8" i="18"/>
  <c r="L10" i="22"/>
  <c r="I8" i="21"/>
  <c r="C11" i="30"/>
  <c r="B8" i="7"/>
  <c r="K10" i="22"/>
  <c r="H11" i="22"/>
  <c r="D8" i="21"/>
  <c r="G10" i="22"/>
  <c r="D11" i="23"/>
  <c r="E9" i="28"/>
  <c r="G11" i="21"/>
  <c r="L9" i="25"/>
  <c r="I11" i="23"/>
  <c r="G8" i="25"/>
  <c r="E11" i="29"/>
  <c r="I8" i="27"/>
  <c r="L9" i="22"/>
  <c r="B8" i="18"/>
  <c r="E8" i="30"/>
  <c r="D8" i="32"/>
  <c r="F11" i="21"/>
  <c r="L9" i="27"/>
  <c r="I8" i="17"/>
  <c r="H9" i="18"/>
  <c r="D9" i="29"/>
  <c r="I9" i="7"/>
  <c r="K10" i="23"/>
  <c r="B8" i="32"/>
  <c r="N8" i="17"/>
  <c r="G9" i="18"/>
  <c r="F10" i="21"/>
  <c r="E9" i="25"/>
  <c r="D9" i="34"/>
  <c r="C8" i="27"/>
  <c r="O9" i="7"/>
  <c r="C9" i="19"/>
  <c r="E9" i="20"/>
  <c r="L9" i="28"/>
  <c r="N8" i="25"/>
  <c r="J9" i="22"/>
  <c r="F9" i="7"/>
  <c r="B10" i="31"/>
  <c r="D10" i="31"/>
  <c r="B10" i="20"/>
  <c r="K8" i="18"/>
  <c r="B9" i="28"/>
  <c r="E9" i="34"/>
  <c r="I9" i="29"/>
  <c r="J10" i="22"/>
  <c r="H8" i="25"/>
  <c r="F11" i="22"/>
  <c r="M8" i="7"/>
  <c r="B11" i="29"/>
  <c r="C8" i="31"/>
  <c r="C9" i="14"/>
  <c r="K8" i="30"/>
  <c r="B11" i="22"/>
  <c r="F9" i="29"/>
  <c r="G9" i="21"/>
  <c r="N8" i="28"/>
  <c r="C8" i="14"/>
  <c r="L9" i="23"/>
  <c r="I9" i="21"/>
  <c r="J11" i="30"/>
  <c r="H9" i="30"/>
  <c r="F9" i="18"/>
  <c r="D11" i="22"/>
  <c r="B9" i="17"/>
  <c r="E8" i="27"/>
  <c r="C8" i="17"/>
  <c r="B9" i="21"/>
  <c r="G10" i="29"/>
  <c r="C9" i="21"/>
  <c r="J8" i="25"/>
  <c r="K9" i="17"/>
  <c r="E9" i="27"/>
  <c r="E9" i="32"/>
  <c r="L8" i="18"/>
  <c r="K11" i="21"/>
  <c r="D8" i="17"/>
  <c r="C8" i="19"/>
  <c r="H10" i="23"/>
  <c r="E9" i="22"/>
  <c r="C8" i="30"/>
  <c r="I10" i="23"/>
  <c r="H10" i="21"/>
  <c r="B9" i="23"/>
  <c r="C8" i="21"/>
  <c r="E10" i="22"/>
  <c r="B11" i="23"/>
  <c r="J10" i="23"/>
  <c r="B9" i="32"/>
  <c r="J8" i="18"/>
  <c r="C10" i="22"/>
  <c r="M8" i="27"/>
  <c r="H9" i="7"/>
  <c r="G8" i="30"/>
  <c r="C10" i="34"/>
  <c r="K8" i="28"/>
  <c r="H10" i="30"/>
  <c r="F8" i="25"/>
  <c r="C8" i="25"/>
  <c r="G11" i="22"/>
  <c r="L8" i="28"/>
  <c r="L8" i="25"/>
  <c r="E8" i="15"/>
  <c r="D10" i="30"/>
  <c r="B8" i="21"/>
  <c r="N9" i="27"/>
  <c r="F8" i="21"/>
  <c r="D8" i="25"/>
  <c r="B8" i="17"/>
  <c r="F10" i="29"/>
  <c r="J9" i="30"/>
  <c r="E10" i="23"/>
  <c r="G9" i="23"/>
  <c r="C10" i="29"/>
  <c r="B8" i="30"/>
  <c r="J8" i="30"/>
  <c r="K9" i="25"/>
  <c r="F8" i="27"/>
  <c r="E9" i="23"/>
  <c r="G9" i="7"/>
  <c r="B9" i="20"/>
  <c r="H9" i="23"/>
  <c r="I8" i="28"/>
  <c r="C11" i="29"/>
  <c r="G9" i="22"/>
  <c r="C8" i="15"/>
  <c r="I10" i="30"/>
  <c r="K10" i="21"/>
  <c r="E10" i="31"/>
  <c r="O8" i="17"/>
  <c r="B10" i="30"/>
  <c r="C8" i="18"/>
  <c r="H8" i="21"/>
  <c r="D9" i="17"/>
  <c r="M9" i="27"/>
  <c r="C10" i="30"/>
  <c r="I9" i="17"/>
  <c r="B10" i="22"/>
  <c r="I8" i="30"/>
  <c r="M9" i="28"/>
  <c r="I10" i="22"/>
  <c r="G8" i="27"/>
  <c r="D10" i="29"/>
  <c r="D8" i="18"/>
  <c r="C9" i="32"/>
  <c r="D8" i="30"/>
  <c r="M8" i="28"/>
  <c r="C10" i="23"/>
  <c r="J8" i="21"/>
  <c r="K9" i="27"/>
  <c r="H11" i="30"/>
  <c r="G11" i="29"/>
  <c r="H8" i="28"/>
  <c r="D9" i="7"/>
  <c r="B10" i="23"/>
  <c r="K8" i="25"/>
  <c r="E10" i="32"/>
  <c r="C10" i="32"/>
  <c r="E9" i="15"/>
  <c r="I9" i="22"/>
  <c r="L9" i="7"/>
  <c r="J10" i="21"/>
  <c r="H8" i="7"/>
  <c r="K8" i="17"/>
  <c r="H8" i="18"/>
  <c r="G10" i="23"/>
  <c r="I8" i="25"/>
  <c r="E11" i="22"/>
  <c r="E9" i="7"/>
  <c r="F8" i="28"/>
  <c r="D9" i="30"/>
  <c r="F8" i="17"/>
  <c r="B8" i="27"/>
  <c r="E10" i="29"/>
  <c r="B11" i="30"/>
  <c r="E10" i="20"/>
  <c r="E10" i="30"/>
  <c r="E11" i="21"/>
  <c r="G8" i="21"/>
  <c r="D8" i="15"/>
  <c r="D9" i="22"/>
  <c r="B10" i="21"/>
  <c r="C9" i="18"/>
  <c r="H10" i="29"/>
  <c r="G11" i="23"/>
  <c r="I9" i="25"/>
  <c r="K9" i="21"/>
  <c r="B9" i="19"/>
  <c r="J8" i="7"/>
  <c r="J9" i="28"/>
  <c r="C11" i="22"/>
  <c r="J8" i="17"/>
  <c r="B8" i="31"/>
  <c r="J10" i="30"/>
  <c r="E8" i="25"/>
  <c r="H9" i="17"/>
  <c r="D11" i="21"/>
  <c r="J9" i="17"/>
  <c r="H9" i="27"/>
  <c r="C9" i="27"/>
  <c r="F11" i="23"/>
  <c r="M11" i="22"/>
  <c r="B11" i="21"/>
  <c r="G9" i="17"/>
  <c r="G8" i="28"/>
  <c r="D10" i="20"/>
  <c r="D10" i="22"/>
  <c r="N8" i="7"/>
  <c r="M10" i="22"/>
  <c r="L8" i="17"/>
  <c r="D8" i="7"/>
  <c r="B8" i="14"/>
  <c r="D11" i="30"/>
  <c r="K8" i="7"/>
  <c r="J9" i="18"/>
  <c r="B8" i="25"/>
  <c r="C9" i="7"/>
  <c r="I11" i="22"/>
  <c r="E9" i="30"/>
  <c r="E10" i="21"/>
  <c r="C8" i="32"/>
  <c r="B9" i="31"/>
  <c r="G10" i="21"/>
  <c r="F9" i="23"/>
  <c r="H9" i="28"/>
  <c r="D11" i="29"/>
  <c r="K9" i="18"/>
  <c r="D9" i="18"/>
  <c r="L8" i="7"/>
  <c r="H8" i="30"/>
  <c r="I11" i="29"/>
  <c r="G9" i="25"/>
  <c r="D8" i="28"/>
  <c r="F9" i="27"/>
  <c r="J9" i="27"/>
  <c r="C9" i="22"/>
  <c r="F9" i="30"/>
  <c r="M9" i="23"/>
  <c r="M8" i="17"/>
  <c r="C8" i="28"/>
  <c r="K9" i="30"/>
  <c r="B9" i="27"/>
  <c r="F10" i="22"/>
  <c r="K9" i="22"/>
  <c r="K11" i="30"/>
  <c r="K11" i="22"/>
  <c r="D9" i="20"/>
  <c r="N9" i="7"/>
  <c r="F10" i="31"/>
  <c r="D9" i="28"/>
  <c r="D9" i="14"/>
  <c r="F9" i="17"/>
  <c r="F11" i="30"/>
  <c r="M9" i="17"/>
  <c r="H11" i="21"/>
  <c r="B8" i="15"/>
  <c r="K8" i="21"/>
  <c r="F9" i="25"/>
  <c r="D9" i="27"/>
  <c r="C10" i="21"/>
  <c r="B9" i="7"/>
  <c r="H8" i="27"/>
  <c r="I9" i="27"/>
  <c r="M9" i="22"/>
  <c r="D10" i="34"/>
  <c r="M9" i="25"/>
  <c r="I11" i="21"/>
  <c r="B10" i="29"/>
  <c r="F10" i="23"/>
  <c r="D9" i="25"/>
  <c r="E9" i="31"/>
  <c r="J11" i="21"/>
  <c r="H11" i="23"/>
  <c r="B9" i="34"/>
  <c r="H9" i="21"/>
  <c r="C9" i="29"/>
  <c r="O9" i="17"/>
  <c r="B9" i="29"/>
  <c r="D8" i="31"/>
  <c r="C9" i="31"/>
  <c r="F8" i="30"/>
  <c r="G8" i="7"/>
  <c r="C10" i="20"/>
  <c r="H9" i="22"/>
  <c r="F11" i="29"/>
  <c r="C9" i="25"/>
  <c r="C9" i="34"/>
  <c r="C9" i="15"/>
  <c r="O8" i="7"/>
  <c r="K8" i="27"/>
  <c r="H9" i="25"/>
  <c r="J9" i="29"/>
  <c r="E9" i="18"/>
  <c r="F10" i="30"/>
  <c r="I10" i="29"/>
  <c r="L9" i="18"/>
  <c r="J11" i="22"/>
  <c r="D9" i="23"/>
  <c r="E8" i="7"/>
  <c r="G9" i="29"/>
  <c r="D9" i="32"/>
  <c r="J9" i="23"/>
  <c r="C11" i="21"/>
  <c r="I9" i="18"/>
  <c r="F8" i="18"/>
  <c r="F9" i="22"/>
  <c r="M11" i="23"/>
  <c r="E8" i="18"/>
  <c r="F8" i="31"/>
  <c r="K9" i="7"/>
  <c r="J8" i="27"/>
  <c r="D9" i="15"/>
  <c r="G9" i="28"/>
  <c r="C9" i="20"/>
  <c r="N9" i="25"/>
  <c r="I9" i="28"/>
  <c r="F9" i="31"/>
  <c r="M8" i="25"/>
  <c r="C11" i="23"/>
  <c r="C9" i="23"/>
  <c r="D8" i="27"/>
  <c r="B9" i="25"/>
  <c r="E10" i="34"/>
  <c r="E8" i="31"/>
  <c r="N9" i="17"/>
  <c r="G10" i="30"/>
  <c r="B9" i="30"/>
  <c r="I9" i="30"/>
  <c r="L11" i="23"/>
  <c r="D9" i="31"/>
  <c r="L9" i="17"/>
  <c r="K9" i="28"/>
  <c r="M9" i="7"/>
  <c r="E8" i="17"/>
  <c r="E8" i="20"/>
  <c r="D8" i="20"/>
  <c r="C8" i="20"/>
  <c r="B8" i="20"/>
  <c r="G8" i="15" l="1"/>
  <c r="J10" i="14"/>
  <c r="AD10" i="27"/>
  <c r="AD10" i="25"/>
  <c r="G9" i="15"/>
  <c r="A11" i="7"/>
  <c r="A12" i="21"/>
  <c r="A11" i="18"/>
  <c r="A12" i="30"/>
  <c r="A11" i="31"/>
  <c r="A12" i="34"/>
  <c r="A11" i="20"/>
  <c r="A12" i="22"/>
  <c r="A12" i="29"/>
  <c r="A11" i="17"/>
  <c r="A11" i="25"/>
  <c r="A11" i="27"/>
  <c r="A11" i="28"/>
  <c r="A11" i="32"/>
  <c r="A11" i="14"/>
  <c r="E10" i="19"/>
  <c r="D10" i="19" s="1"/>
  <c r="A12" i="19" s="1"/>
  <c r="A12" i="23"/>
  <c r="F10" i="15"/>
  <c r="G9" i="35"/>
  <c r="G10" i="35"/>
  <c r="F11" i="43"/>
  <c r="C11" i="43" s="1"/>
  <c r="E11" i="43"/>
  <c r="J10" i="12"/>
  <c r="E8" i="12"/>
  <c r="D8" i="12" s="1"/>
  <c r="A8" i="12"/>
  <c r="AC11" i="6"/>
  <c r="AB11" i="6"/>
  <c r="AA11" i="6"/>
  <c r="Z11" i="6"/>
  <c r="Y11" i="6"/>
  <c r="X11" i="6"/>
  <c r="W11" i="6"/>
  <c r="V11" i="6"/>
  <c r="U11" i="6"/>
  <c r="T11" i="6"/>
  <c r="S11" i="6"/>
  <c r="R11" i="6"/>
  <c r="B11" i="6"/>
  <c r="A11" i="6"/>
  <c r="AD10" i="6"/>
  <c r="N10" i="6"/>
  <c r="A10" i="6"/>
  <c r="AD9" i="6"/>
  <c r="N9" i="6"/>
  <c r="A9" i="6"/>
  <c r="I10" i="5"/>
  <c r="G11" i="40" s="1"/>
  <c r="H10" i="5"/>
  <c r="G10" i="5"/>
  <c r="J9" i="5"/>
  <c r="A9" i="5"/>
  <c r="J8" i="5"/>
  <c r="A8" i="5"/>
  <c r="A9" i="4"/>
  <c r="A8" i="4"/>
  <c r="A10" i="1"/>
  <c r="A9" i="1"/>
  <c r="A8" i="1"/>
  <c r="A7" i="1"/>
  <c r="D9" i="6"/>
  <c r="J10" i="6"/>
  <c r="L9" i="6"/>
  <c r="G9" i="6"/>
  <c r="B8" i="5"/>
  <c r="I10" i="6"/>
  <c r="A17" i="1"/>
  <c r="F10" i="6"/>
  <c r="J9" i="6"/>
  <c r="D8" i="5"/>
  <c r="I9" i="6"/>
  <c r="K10" i="6"/>
  <c r="L10" i="6"/>
  <c r="E9" i="6"/>
  <c r="K9" i="6"/>
  <c r="C8" i="12"/>
  <c r="C9" i="5"/>
  <c r="B9" i="6"/>
  <c r="B10" i="6"/>
  <c r="F9" i="6"/>
  <c r="D9" i="5"/>
  <c r="H9" i="6"/>
  <c r="A16" i="1"/>
  <c r="B9" i="5"/>
  <c r="C9" i="12"/>
  <c r="D10" i="6"/>
  <c r="B9" i="12"/>
  <c r="C9" i="6"/>
  <c r="C8" i="5"/>
  <c r="E10" i="6"/>
  <c r="M10" i="6"/>
  <c r="C10" i="6"/>
  <c r="H10" i="6"/>
  <c r="G10" i="6"/>
  <c r="B8" i="12"/>
  <c r="M9" i="6"/>
  <c r="O9" i="6" l="1"/>
  <c r="J10" i="5"/>
  <c r="AD11" i="6"/>
  <c r="O10" i="6"/>
  <c r="A12" i="43"/>
  <c r="A10" i="4"/>
  <c r="E10" i="12"/>
  <c r="D10" i="12" s="1"/>
  <c r="A12" i="12" s="1"/>
  <c r="A11" i="5"/>
  <c r="A18" i="1"/>
  <c r="F11" i="40"/>
  <c r="E11" i="40"/>
  <c r="N11" i="6"/>
  <c r="O11" i="6" l="1"/>
  <c r="A13" i="6" s="1"/>
  <c r="C11" i="40"/>
  <c r="A12" i="40" s="1"/>
  <c r="N10" i="15"/>
  <c r="G10" i="15" s="1"/>
  <c r="A11" i="15" s="1"/>
</calcChain>
</file>

<file path=xl/sharedStrings.xml><?xml version="1.0" encoding="utf-8"?>
<sst xmlns="http://schemas.openxmlformats.org/spreadsheetml/2006/main" count="602" uniqueCount="297">
  <si>
    <t>Agency</t>
  </si>
  <si>
    <t>FOIA Annual Report Year</t>
  </si>
  <si>
    <t>Date Prepared</t>
  </si>
  <si>
    <t>Worksheets</t>
  </si>
  <si>
    <t>setProgRows</t>
  </si>
  <si>
    <t>setProgCols</t>
  </si>
  <si>
    <t>setEnableSelect</t>
  </si>
  <si>
    <t>setRowColHeaders</t>
  </si>
  <si>
    <t>setVisible</t>
  </si>
  <si>
    <t>setProtect</t>
  </si>
  <si>
    <t>wksAgencyInformation</t>
  </si>
  <si>
    <t>wksUISettings</t>
  </si>
  <si>
    <t>Agency Information</t>
  </si>
  <si>
    <t>Component Definition</t>
  </si>
  <si>
    <t>wksImplementationNotes</t>
  </si>
  <si>
    <t>wksExemption3Statutes</t>
  </si>
  <si>
    <t>Statute</t>
  </si>
  <si>
    <t>Type of Information
Withheld</t>
  </si>
  <si>
    <t>Case Citation</t>
  </si>
  <si>
    <t>Component</t>
  </si>
  <si>
    <t>wksProcessedRequest</t>
  </si>
  <si>
    <t>V. FOIA REQUESTS / A. Received, Processed and Pending FOIA Requests</t>
  </si>
  <si>
    <t>Number of
Requests Received
in Fiscal Year</t>
  </si>
  <si>
    <t>Number of
Requests Processed
in Fiscal Year</t>
  </si>
  <si>
    <t>wksRequestDisposition</t>
  </si>
  <si>
    <t>Agency Abbreviation</t>
  </si>
  <si>
    <t>Component Abbreviation</t>
  </si>
  <si>
    <t>Component Name</t>
  </si>
  <si>
    <t>Number of Requests
Pending as of Start
of Fiscal Year</t>
  </si>
  <si>
    <t>Number of Requests
Pending as of End
of Fiscal Year</t>
  </si>
  <si>
    <t>Footnotes</t>
  </si>
  <si>
    <t>HasError</t>
  </si>
  <si>
    <t>hasError</t>
  </si>
  <si>
    <t>V. FOIA REQUESTS / B. (1) Disposition of FOIA Requests - All Processed Requests</t>
  </si>
  <si>
    <t>Number of Full Grants</t>
  </si>
  <si>
    <t>Number of Partial Grants / Partial Denials</t>
  </si>
  <si>
    <t>Number of Full Denials Based on Exemptions</t>
  </si>
  <si>
    <t>No Records</t>
  </si>
  <si>
    <t>All Records Referred to Another Component or Agency</t>
  </si>
  <si>
    <t>Request Withdrawn</t>
  </si>
  <si>
    <t>Fee-Related Reason</t>
  </si>
  <si>
    <t>Records not Reasonably Described</t>
  </si>
  <si>
    <t>Improper FOIA Request for Other Reason</t>
  </si>
  <si>
    <t>Not Agency Record</t>
  </si>
  <si>
    <t>Duplicate Request</t>
  </si>
  <si>
    <t>Other *Explain in chart below</t>
  </si>
  <si>
    <t>TOTAL</t>
  </si>
  <si>
    <t>Number of Full Denials Based on Reasons Other than Exemptions</t>
  </si>
  <si>
    <t>AGENCY OVERALL</t>
  </si>
  <si>
    <t>wksRequestDispositionExemptions</t>
  </si>
  <si>
    <t>V. FOIA REQUESTS / B. (3) Disposition of FOIA Requests - Number of Times Exemptions Applied</t>
  </si>
  <si>
    <t>Ex. 1</t>
  </si>
  <si>
    <t>Ex. 2</t>
  </si>
  <si>
    <t>Ex. 3</t>
  </si>
  <si>
    <t>Ex. 4</t>
  </si>
  <si>
    <t>Ex. 5</t>
  </si>
  <si>
    <t>Ex. 6</t>
  </si>
  <si>
    <t>Ex. 7(A)</t>
  </si>
  <si>
    <t>Ex. 7(B)</t>
  </si>
  <si>
    <t>Ex. 7(C)</t>
  </si>
  <si>
    <t>Ex. 7(D)</t>
  </si>
  <si>
    <t>Ex. 7(E)</t>
  </si>
  <si>
    <t>Ex. 7(F)</t>
  </si>
  <si>
    <t>Ex. 8</t>
  </si>
  <si>
    <t>Ex. 9</t>
  </si>
  <si>
    <t>wksOtherDenialReason</t>
  </si>
  <si>
    <t>V. FOIA REQUESTS / B. (2) Disposition of FOIA Requests - Other Reasons</t>
  </si>
  <si>
    <t>ComponentValid</t>
  </si>
  <si>
    <t>TotalValid</t>
  </si>
  <si>
    <t>Component Valid</t>
  </si>
  <si>
    <t>wksProcessedAppeal</t>
  </si>
  <si>
    <t>VI. ADMINISTRATIVE APPEALS / A. Received, Processed and Pending Administrative Appeals</t>
  </si>
  <si>
    <t>Number of Appeals
Pending as of Start
of Fiscal Year</t>
  </si>
  <si>
    <t>Number of
Appeals Received
in Fiscal Year</t>
  </si>
  <si>
    <t>Number of
Appeals Processed
in Fiscal Year</t>
  </si>
  <si>
    <t>Number of Appeals
Pending as of End
of Fiscal Year</t>
  </si>
  <si>
    <t>Total matches V.A. Processed</t>
  </si>
  <si>
    <t>Corresponding V.A. Processed</t>
  </si>
  <si>
    <t>Corresponding V.B.1 Other</t>
  </si>
  <si>
    <t>wksAppealDisposition</t>
  </si>
  <si>
    <t>Number Affirmed on Appeal</t>
  </si>
  <si>
    <t>Number Partially Affirmed &amp; Partially Reversed/Remanded on Appeal</t>
  </si>
  <si>
    <t>Number Completely Reversed/Remanded on Appeal</t>
  </si>
  <si>
    <t>Number of Appeals Closed for Other Reasons</t>
  </si>
  <si>
    <t>VI. ADMINISTRATIVE APPEALS / B. Disposition of Administrative Appeals - All Processed Appeals</t>
  </si>
  <si>
    <t>wksAppealDispositionExemptions</t>
  </si>
  <si>
    <t>VI. ADMINISTRATIVE APPEALS / C. (1) Reasons for Denial on Appeal - Number of Times Exemptions Applied</t>
  </si>
  <si>
    <t>wksAppealNonExemptionDenial</t>
  </si>
  <si>
    <t>Records Referred at Initial Request Level</t>
  </si>
  <si>
    <t>Improper Request for Other Reasons</t>
  </si>
  <si>
    <t>Duplicate Request or Appeal</t>
  </si>
  <si>
    <t>Request in Litigation</t>
  </si>
  <si>
    <t>Appeal Based Solely on Denial of Request for Expedited Processing</t>
  </si>
  <si>
    <t>VI. ADMINISTRATIVE APPEALS / C. (2) Reasons for Denial on Appeal - Reasons Other than Exemptions</t>
  </si>
  <si>
    <t>wksAppealDenialOtherReason</t>
  </si>
  <si>
    <t>VI. ADMINISTRATIVE APPEALS / C. (3) Reasons for Denial on Appeal - Other Reasons</t>
  </si>
  <si>
    <t>wksAppealResponseTime</t>
  </si>
  <si>
    <t>Median Number of Days</t>
  </si>
  <si>
    <t>Lowest Number of Days</t>
  </si>
  <si>
    <t>Highest Number of Days</t>
  </si>
  <si>
    <t>VI. ADMINISTRATIVE APPEALS / C. (4) Response Time for Administrative Appeals</t>
  </si>
  <si>
    <t>wksOldestPendingAppeal</t>
  </si>
  <si>
    <t>10th Oldest Appeal</t>
  </si>
  <si>
    <t>9th</t>
  </si>
  <si>
    <t>8th</t>
  </si>
  <si>
    <t>7th</t>
  </si>
  <si>
    <t>6th</t>
  </si>
  <si>
    <t>5th</t>
  </si>
  <si>
    <t>4th</t>
  </si>
  <si>
    <t>3rd</t>
  </si>
  <si>
    <t>2nd</t>
  </si>
  <si>
    <t>Oldest Appeal</t>
  </si>
  <si>
    <t>Date of Appeal</t>
  </si>
  <si>
    <t>Number of Days Pending</t>
  </si>
  <si>
    <t>10th Valid</t>
  </si>
  <si>
    <t>9th Valid</t>
  </si>
  <si>
    <t>8th Valid</t>
  </si>
  <si>
    <t>7th Valid</t>
  </si>
  <si>
    <t>6th Valid</t>
  </si>
  <si>
    <t>5th Valid</t>
  </si>
  <si>
    <t>4th Valid</t>
  </si>
  <si>
    <t>3rd Valid</t>
  </si>
  <si>
    <t>2nd Valid</t>
  </si>
  <si>
    <t>1st Valid</t>
  </si>
  <si>
    <t>wksProcessedResponseTime</t>
  </si>
  <si>
    <t>SIMPLE</t>
  </si>
  <si>
    <t>COMPLEX</t>
  </si>
  <si>
    <t>EXPEDITED PROCESSING</t>
  </si>
  <si>
    <t>Average Number of Days</t>
  </si>
  <si>
    <t>VII. A. Processed Requests - Response Time for All Processed Perfected Requests</t>
  </si>
  <si>
    <t>wksInfoGrantedResponseTime</t>
  </si>
  <si>
    <t>VII. B. Processed Requests - Response Time for Perfected Requests in Which Information Was Granted</t>
  </si>
  <si>
    <t>VII. C. Processed Requests - Response Time in Day Increments - Simple Requests</t>
  </si>
  <si>
    <t>81-100 Days</t>
  </si>
  <si>
    <t>101-120 Days</t>
  </si>
  <si>
    <t>121-140 Days</t>
  </si>
  <si>
    <t>141-160 Days</t>
  </si>
  <si>
    <t>161-180 Days</t>
  </si>
  <si>
    <t>181-200 Days</t>
  </si>
  <si>
    <t>201-300 Days</t>
  </si>
  <si>
    <t>301-400 Days</t>
  </si>
  <si>
    <t>401+
Days</t>
  </si>
  <si>
    <t>21-40
Days</t>
  </si>
  <si>
    <t>41-60
Days</t>
  </si>
  <si>
    <t>61-80
Days</t>
  </si>
  <si>
    <t>wksSimpleTimeIncrements</t>
  </si>
  <si>
    <t>wksComplexTimeIncrements</t>
  </si>
  <si>
    <t>wksExpeditedTimeIncrements</t>
  </si>
  <si>
    <t>VII. C. Processed Requests - Response Time in Day Increments - Complex Requests</t>
  </si>
  <si>
    <t>VII. C. Processed Requests - Response Time in Day Increments - Requests Granted Expedited Processing</t>
  </si>
  <si>
    <t>wksPendingPerfectedRequests</t>
  </si>
  <si>
    <t>VII. D. Pending Requests - All Pending Perfected Requests</t>
  </si>
  <si>
    <t>Number Pending</t>
  </si>
  <si>
    <t>wksOldestPendingRequest</t>
  </si>
  <si>
    <t>VII. E. Pending Requests - Ten Oldest Pending Perfected Requests</t>
  </si>
  <si>
    <t>10th Oldest Request</t>
  </si>
  <si>
    <t>Oldest Request</t>
  </si>
  <si>
    <t>Date of Receipt</t>
  </si>
  <si>
    <t>wksExpeditedProcessing</t>
  </si>
  <si>
    <t>VIII. A. Requests for Expedited Processing</t>
  </si>
  <si>
    <t>Number Granted</t>
  </si>
  <si>
    <t>Number Denied</t>
  </si>
  <si>
    <t>Median Number of Days to Adjudicate</t>
  </si>
  <si>
    <t>Average Number of Days to Adjudicate</t>
  </si>
  <si>
    <t>Number Adjudicated Within Ten Calendar Days</t>
  </si>
  <si>
    <t>Median</t>
  </si>
  <si>
    <t>Average</t>
  </si>
  <si>
    <t>Within Ten</t>
  </si>
  <si>
    <t>wksFeeWaiver</t>
  </si>
  <si>
    <t>VIII. B. Requests for Fee Waiver</t>
  </si>
  <si>
    <t>wksPersonnelAndCost</t>
  </si>
  <si>
    <t>IX. FOIA Personnel and Costs</t>
  </si>
  <si>
    <t>PERSONNEL</t>
  </si>
  <si>
    <t>COSTS</t>
  </si>
  <si>
    <t>Number of "Full-Time FOIA Employees"</t>
  </si>
  <si>
    <t>Number of "Equivalent Full-Time FOIA Employees"</t>
  </si>
  <si>
    <t>Total Number of "Full-Time FOIA Staff"</t>
  </si>
  <si>
    <t>Processing Costs</t>
  </si>
  <si>
    <t>Litigation-Related Costs</t>
  </si>
  <si>
    <t>Total Costs</t>
  </si>
  <si>
    <t>FTE</t>
  </si>
  <si>
    <t>EFTE</t>
  </si>
  <si>
    <t>Processing</t>
  </si>
  <si>
    <t>Litigation</t>
  </si>
  <si>
    <t>X. Fees Collected for Processing Requests</t>
  </si>
  <si>
    <t>wksFeesCollected</t>
  </si>
  <si>
    <t>Total Amount of Fees Collected</t>
  </si>
  <si>
    <t>Percentage of Total Costs</t>
  </si>
  <si>
    <t>Fees</t>
  </si>
  <si>
    <t>Corresponding IX. Processing Costs</t>
  </si>
  <si>
    <t>wksBacklog</t>
  </si>
  <si>
    <t>Number of Backlogged Requests as of End of Fiscal Year</t>
  </si>
  <si>
    <t>Number of Backlogged Appeals as of End of Fiscal Year</t>
  </si>
  <si>
    <t xml:space="preserve">IV. Exemption 3 Statutes </t>
  </si>
  <si>
    <t>wksInstructions</t>
  </si>
  <si>
    <t>VI. ADMINISTRATIVE APPEALS / C. (5) Ten Oldest Administrative Appeals</t>
  </si>
  <si>
    <t>wksProcessedConsultation</t>
  </si>
  <si>
    <t>XII. B. Consultations on FOIA Requests - Received, Processed, and Pending Consultations</t>
  </si>
  <si>
    <t>wksOldestPendingConsultation</t>
  </si>
  <si>
    <t>XII. C. Consultations on FOIA Requests - Ten Oldest Consultations Received from Other Agencies Pending at Your Agency</t>
  </si>
  <si>
    <t>Date</t>
  </si>
  <si>
    <t>Number of Days</t>
  </si>
  <si>
    <t>10th Oldest Consultation</t>
  </si>
  <si>
    <t>Oldest Consultation</t>
  </si>
  <si>
    <t>wksRequestComparison</t>
  </si>
  <si>
    <t>Number Received During Fiscal Year from Last Year's Annual Report</t>
  </si>
  <si>
    <t>Number Received During Fiscal Year from Current Annual Report</t>
  </si>
  <si>
    <t>Number Processed During Fiscal Year from Last Year's Annual Report</t>
  </si>
  <si>
    <t>Number Processed During Fiscal Year from Current Annual Report</t>
  </si>
  <si>
    <t>Received Last</t>
  </si>
  <si>
    <t>Received Current</t>
  </si>
  <si>
    <t>Processed Last</t>
  </si>
  <si>
    <t>Processed Current</t>
  </si>
  <si>
    <t>Corresponding V.A. Received</t>
  </si>
  <si>
    <t>XII. D. 1. Comparison of Numbers of Requests from Previous and Current Annual Report</t>
  </si>
  <si>
    <t>Number of Backlogged Requests as of End of the Fiscal Year from Previous Annual Report</t>
  </si>
  <si>
    <t>Number of Backlogged Requests as of End of the Fiscal Year from Current Annual Report</t>
  </si>
  <si>
    <t>Last</t>
  </si>
  <si>
    <t>Current</t>
  </si>
  <si>
    <t>wksBackloggedRequestComparison</t>
  </si>
  <si>
    <t>wksAppealComparison</t>
  </si>
  <si>
    <t>XII. E. 1. Comparison of Numbers of Administrative Appeals from Previous and Current Annual Report</t>
  </si>
  <si>
    <t>Corresponding VI.A. Received</t>
  </si>
  <si>
    <t>Corresponding VI.A. Processed</t>
  </si>
  <si>
    <t>wksBackloggedAppealComparison</t>
  </si>
  <si>
    <t>Number of Backlogged Appeals as of End of the Fiscal Year from Previous Annual Report</t>
  </si>
  <si>
    <t>Number of Backlogged Appeals as of End of the Fiscal Year from Current Annual Report</t>
  </si>
  <si>
    <t>List all Exemption 3 statutes relied upon to withhold information and the number of times each was relied upon.
Enter a single statute in the merged cell in the 'Statute' column. You can make room to enter additional statutes by right-clicking on any editable cell in the statute table and choosing 'Add Statute'. A new, empty statute entry area will be added at the bottom of the table.
The columns to the right of each statute allow entry of information associated with the statute. You can make room for additional associated information by right-clicking on any editable cell associated with the statute and choosing 'Add Detail Row'.
The Footnotes section allows entry of any free-format notes associated with this section of the report. Again, if you need more than two footnotes, right-click on an editable cell in the Footnotes section, and choose 'Add Row'.</t>
  </si>
  <si>
    <t>Start</t>
  </si>
  <si>
    <t>Received</t>
  </si>
  <si>
    <t>Processed</t>
  </si>
  <si>
    <t>Each row represents values for a single component. Enter the component abbreviation, or choose it from the drop-down, then enter values for that component in the editable columns to the right. Component abbreviations must match those set up on the 'Agency Information' sheet. If the report is not broken out by component, the agency abbreviation must be entered, which is the only option offered in the drop-down.
Blank lines are ignored, but if the component column is filled in, all other editable columns must be filled in. All values must be non-negative integers.</t>
  </si>
  <si>
    <t>Each row represents values for a single component. Enter the component abbreviation, or choose it from the drop-down, then enter values for that component in the editable columns to the right. Component abbreviations must match those set up on the 'Agency Information' sheet. If the report is not broken out by component, the agency abbreviation must be entered, which is the only option offered in the drop-down.
Blank lines are ignored, but if the component column is filled in, all other editable columns must be filled in. All values must be non-negative integers.
Additional entry rows may be added by right-clicking on any editable cell in the table and choosing 'Add Row'. An additional component row will be added at the bottom of the table. If you select multiple rows before right clicking, a corresponding number of rows will be added at the bottom.</t>
  </si>
  <si>
    <t>Description</t>
  </si>
  <si>
    <t>Number</t>
  </si>
  <si>
    <t>Each row represents values for a single component. Enter the component abbreviation, or choose it from the drop-down, then enter values for that component in the editable columns to the right. Component abbreviations must match those set up on the 'Agency Information' sheet. If the report is not broken out by component, the agency abbreviation must be entered, which is the only option offered in the drop-down.
Blank lines are ignored, but if the component column is filled in, all other editable columns must be filled in. All values must be non-negative integers.
The sum of all columns (calculated column titled 'TOTAL') must match the number entered on sheet V.A., column 'Number of Requests Processed in Fiscal Year' for the component, and for the agency overall.</t>
  </si>
  <si>
    <t>Information for a single component may span multiple rows. The merged cell in the 'Component' column indicates the detail rows to the right which are associated with each component. To add additional components, right-click on any editable cell in the table and choose 'Add Component'. A new, empty component entry area will be added at the bottom of the table.
The columns to the right of each component allow entry of information associated with the component. You can make room for additional associated information by right-clicking on any editable cell associated with the component and choosing 'Add Detail Row'.
Blank components are ignored, but if the component column is filled in, at least one description must also be entered. If a description is entered, an associated count must be entered. Counts must be non-negative integers.
The calculated column titled 'COMPONENT TOTAL' must match the number entered on sheet V.B.1., column 'Other' for the component, and for the agency overall.</t>
  </si>
  <si>
    <t>Information for a single component may span multiple rows. The merged cell in the 'Component' column indicates the detail rows to the right which are associated with each component. To add additional components, right-click on any editable cell in the table and choose 'Add Component'. A new, empty component entry area will be added at the bottom of the table.
The columns to the right of each component allow entry of information associated with the component. You can make room for additional associated information by right-clicking on any editable cell associated with the component and choosing 'Add Detail Row'.
Blank components are ignored, but if the component column is filled in, at least one description must also be entered. If a description is entered, an associated count must be entered. Counts must be non-negative integers.
The calculated column titled 'COMPONENT TOTAL' must match the number entered on sheet VI.C.2., column 'Other' for the component, and for the agency overall.</t>
  </si>
  <si>
    <t xml:space="preserve">Each row represents values for a single component. Enter the component abbreviation, or choose it from the drop-down, then enter values for that component in the editable columns to the right.
Blank lines are ignored, but if the component column is filled in, all other editable columns must be filled in. All values must be non-negative integers.
</t>
  </si>
  <si>
    <t>Blank lines are ignored, but if the component column is filled in, all other editable columns must be filled in. All values must be non-negative integers.
The sum of all columns (calculated column titled 'TOTAL') must match the number entered on sheet VI.A., column 'Number of Appeals Processed in Fiscal Year' for the component, and for the agency overall.</t>
  </si>
  <si>
    <t xml:space="preserve">Blank lines are ignored, but if the component column is filled in, all other editable columns must be filled in. All values must be non-negative integers.
</t>
  </si>
  <si>
    <t>If the component column is filled in, all other editable columns must be filled in. All values must be non-negative numeric.</t>
  </si>
  <si>
    <r>
      <t xml:space="preserve">Number of
Consultations </t>
    </r>
    <r>
      <rPr>
        <b/>
        <u/>
        <sz val="9"/>
        <color indexed="56"/>
        <rFont val="Calibri"/>
        <family val="2"/>
      </rPr>
      <t>Received</t>
    </r>
    <r>
      <rPr>
        <b/>
        <sz val="9"/>
        <color indexed="56"/>
        <rFont val="Calibri"/>
        <family val="2"/>
      </rPr>
      <t xml:space="preserve"> from Other Agencies During the Fiscal Year</t>
    </r>
  </si>
  <si>
    <r>
      <t xml:space="preserve">NUMBER OF REQUESTS </t>
    </r>
    <r>
      <rPr>
        <b/>
        <u/>
        <sz val="9"/>
        <color indexed="56"/>
        <rFont val="Calibri"/>
        <family val="2"/>
      </rPr>
      <t>RECEIVED</t>
    </r>
  </si>
  <si>
    <r>
      <t xml:space="preserve">NUMBER OF REQUESTS </t>
    </r>
    <r>
      <rPr>
        <b/>
        <u/>
        <sz val="9"/>
        <color indexed="56"/>
        <rFont val="Calibri"/>
        <family val="2"/>
      </rPr>
      <t>PROCESSED</t>
    </r>
  </si>
  <si>
    <r>
      <t xml:space="preserve">NUMBER OF APPEALS </t>
    </r>
    <r>
      <rPr>
        <b/>
        <u/>
        <sz val="9"/>
        <color indexed="56"/>
        <rFont val="Calibri"/>
        <family val="2"/>
      </rPr>
      <t>RECEIVED</t>
    </r>
  </si>
  <si>
    <r>
      <t xml:space="preserve">NUMBER OF APPEALS </t>
    </r>
    <r>
      <rPr>
        <b/>
        <u/>
        <sz val="9"/>
        <color indexed="56"/>
        <rFont val="Calibri"/>
        <family val="2"/>
      </rPr>
      <t>PROCESSED</t>
    </r>
  </si>
  <si>
    <t>If the component column is filled in, all other editable columns must be filled in. All values must be non-negative integers.
The values entered for the current fiscal year must match those entered on sheet V.A.</t>
  </si>
  <si>
    <t>If the component column is filled in, all other editable columns must be filled in. All values must be non-negative integers.
The values entered for the current fiscal year must match those entered on sheet VI.A.</t>
  </si>
  <si>
    <t>Corresponding XII.A. Requests</t>
  </si>
  <si>
    <t>Corresponding XII.A. Appeals</t>
  </si>
  <si>
    <t>If the component column is filled in, all other editable columns must be filled in. All values must be non-negative integers.
The values entered for the current fiscal year must match those entered on sheet XII.A.</t>
  </si>
  <si>
    <t>XII. E. 2. Comparison of Backlogged Administrative Appeals from Previous and Current Annual Report</t>
  </si>
  <si>
    <t>XII. D. 2. Comparison of Backlogged Requests from Previous and Current Annual Report</t>
  </si>
  <si>
    <t xml:space="preserve">"AGENCY OVERALL" information cannot be calculated from component information, and must be entered.
Blank component lines are ignored, but if the component column is filled in, all other editable columns must be filled in. Similarly, all columns on the AGENCY OVERALL row must be filled in. Values must either be non-negative numeric values, the special value "&lt;1", or the special value "N/A".
</t>
  </si>
  <si>
    <t>"AGENCY OVERALL" information cannot be calculated from component information, and must be entered.
Blank component lines are ignored, but if the component column is filled in, all other editable columns must be filled in. Similarly, all columns on the AGENCY OVERALL row must be filled in. Values must either be non-negative numeric values, the special value "&lt;1", or the special value "N/A".</t>
  </si>
  <si>
    <t xml:space="preserve">"AGENCY OVERALL" information cannot be calculated from component information, and must be entered.
A component, or the agency overall, may not have ten perfected requests pending. Thus, some columns may be not applicable. In this case, "N/A" should be entered in the "Date of Receipt" cell, and "0" should be entered in the "Number of Days Pending" cell. However, if a column is used for a valid date, all columns to the right of it must also be filled in with a valid date. If a date is filled in, the number of days associated with the date must also be filled in. "Number of Days Pending" values must be non-negative integers.
</t>
  </si>
  <si>
    <t xml:space="preserve">"AGENCY OVERALL" information cannot be calculated from component information, and must be entered.
A component, or the agency overall, may not have ten consultations pending. Thus, some columns may be not applicable. In this case, "N/A" should be entered in the "Date" cell, and "0" should be entered in the "Number of Days" cell. However, if a column is used for a valid date, all columns to the right of it must also be filled in with a valid date. If a date is filled in, the number of days associated with the date must also be filled in. "Number of Days" values must be non-negative integers.
</t>
  </si>
  <si>
    <t>"AGENCY OVERALL" information cannot be calculated from component information, and must be entered.
Blank lines are ignored, but if the component column is filled in, all other editable columns must be filled in, as well as all 'AGENCY OVERALL' columns. "Number Pending" columns must contain non-negative integer, or the special value "N/A". "Median" and "Average" columns must contain non-negative decimal numbers, or the special value "N/A".</t>
  </si>
  <si>
    <t>"AGENCY OVERALL" information cannot be calculated from component information, and must be entered.
Blank lines are ignored, but if the component column is filled in, all other editable columns must be filled in, as well as all 'AGENCY OVERALL' columns.
* "Number Granted" and "Number Denied" columns must contain non-negative integers.
* "Median" and "Average" columns must contain non-negative decimal numbers, or the special value "N/A".
* "Number Adjudicated within Ten Calendar Days" column must contain non-negative integers, or the special value "N/A".</t>
  </si>
  <si>
    <t>"AGENCY OVERALL" information cannot be calculated from component information, and must be entered.
Blank lines are ignored, but if the component column is filled in, all other editable columns must be filled in, as well as all 'AGENCY OVERALL' columns.
* "Number Granted" and "Number Denied" columns must contain non-negative integers.
* "Median" and "Average" columns must contain non-negative decimal numbers, or the special value "N/A".</t>
  </si>
  <si>
    <t>Number of Times "Other" Reason Was Relied Upon</t>
  </si>
  <si>
    <t>If the component column is filled in, the "Total Amount of Fees Collected" column must also be filled in. The value must be non-negative numeric.
The "Percentage of Total Costs" column is calculated by comparing the Fees Collected column with Processing Costs from sheet IX.</t>
  </si>
  <si>
    <t>wksEnableMacros</t>
  </si>
  <si>
    <t>This is the first sheet in which the "AGENCY OVERALL" information cannot be calculated from component information, and must be entered. Notice that the cells in the AGENCY OVERALL line are not green (calculated), but are instead editable.
If the report is broken out by component, enter each component individually, then manually enter agency total information.
If the report is NOT broken out by component, no choices will be available in the component drop-down. In this case, enter only the agency total information in the AGENCY OVERALL row.
Blank component lines are ignored, but if the component column is filled in, all other editable columns must be filled in. All values must be non-negative numeric values, or the special value "&lt;1". A right-click context menu item is available to enter the special value "&lt;1" into selected cells.</t>
  </si>
  <si>
    <t>"AGENCY OVERALL" information cannot be calculated from component information, and must be entered.
A component, or the agency overall, may not have ten appeals pending. Thus, some columns may be not applicable. In this case, "N/A" should be entered in the "Date of Appeal" cell, and "0" should be entered in the "Number of Days Pending" cell. However, if a column is used for a valid date, all columns to the right of it must also be filled in with a valid date. If a date is filled in, the number of days associated with the date must also be filled in. "Number of Days Pending" values must be non-negative integers.  A right-click context menu item is available to enter the special value "N/A" into selected cells.</t>
  </si>
  <si>
    <t>This sheet should be filled out first. General information about the report, and the reporting agency, is defined here.
If the agency's FOIA information is reported by 'component' (sub-organization, office, division), the components must be defined here. Component abbreviations entered here are available throughout this workbook in drop-down lists, allowing entry of information for each component.
You can make room to enter additional components by right-clicking on any editable cell in the component definition table and choosing 'Add Row'. A new, empty component row will be added at the bottom of the table. If you select multiple existing rows within the component definition table, right-click over the selected area, then choose 'Add Row', a corresponding number of component rows will be added at the bottom of the table. This convention is used throughout this workbook for expanding the size of entry tables.</t>
  </si>
  <si>
    <t>FOIA ANNUAL REPORT WORKBOOK</t>
  </si>
  <si>
    <t>FOIA Annual Reports are published in a standardized XML format designed specifically for FOIA annual reports, which adheres to the NIEM (National Information Exchange Model) standard (http://niem.gov). This standardized XML format allows interchange of FOIA information between systems in a machine-readable format. We refer to these documents here as "FOIA format XML documents".</t>
  </si>
  <si>
    <t>This Excel template allows creation and modification of FOIA format XML documents.</t>
  </si>
  <si>
    <t>Please contact Jessica Sanet or Patrick DeKlotz of the Office of Information Policy at (202) 514-3642 with questions.</t>
  </si>
  <si>
    <t>Important Workbook Usage Information:</t>
  </si>
  <si>
    <t>1) The DOJ Office of Information Policy provides this workbook as an Excel 2003 template (.XLT) file. When you open the template, load or enter information, then save the workbook, you do not overwrite the template, but rather create a new XLS document containing the information you entered. Thus, your copy of the template itself remains unmodified, and can be used in the future to create another report.</t>
  </si>
  <si>
    <t>2) You can work with the XLS file to enter and save your information as you would with any Excel spreadsheet. However, it is important to understand that the FOIA annual report is not published as an XLS file, but rather as FOIA format XML documents introduced above. A custom 'Add-In' menu is added to Excel when the macros in this workbook initialize. This menu provides the following toolbar buttons to allow working with FOIA format XML documents:
        A) Export as NIEM XML - export all FOIA information in the workbook to a FOIA format XML document.
        B) Import from NIEM XML - REPLACE all FOIA information in the workbook with information from the FOIA format XML
             document.
        C) Clear All Entries - delete all FOIA information in the workbook.</t>
  </si>
  <si>
    <r>
      <t>3) If you wish to Paste data into the spreadsheet,</t>
    </r>
    <r>
      <rPr>
        <b/>
        <i/>
        <sz val="10"/>
        <color indexed="8"/>
        <rFont val="Calibri"/>
        <family val="2"/>
      </rPr>
      <t xml:space="preserve"> please only use the 'Copy' and 'Paste Values' buttons on the FOIA Add-In menu.</t>
    </r>
    <r>
      <rPr>
        <sz val="10"/>
        <color indexed="8"/>
        <rFont val="Calibri"/>
        <family val="2"/>
      </rPr>
      <t xml:space="preserve"> Excel offers numerous ways to initiate cut/copy/paste operations (toolbar buttons, menu options, context menu options, keyboard shortcuts, ribbon buttons in Excel 2007, etc.) These have all been disabled to the greatest degree possible, since unrestricted Cut/Copy/Paste operations can alter the special formatting and validation which allows creation of properly-formatted FOIA XML files.</t>
    </r>
  </si>
  <si>
    <t>4) When entering information, you should have a copy of the FOIA guidelines (2008 Guidelines for Agency Preparation of Annual FOIA Reports) available for reference. This workbook lays out information as it is presented there. Details about meaning of specific entries are described in these guidelines, and are not duplicated in this workbook.</t>
  </si>
  <si>
    <t>5) When entering information, it is best to proceed through the worksheets in order, since some worksheets validate information against entries on previous worksheets.</t>
  </si>
  <si>
    <t>6) Each worksheet has sheet-specific instructions at the top of the page, formatted like the instructions you're reading now. The sheet-specific instructions describe how to use the sheet, and detail how information entered on the sheet is validated. A number of user interface conventions are used throughout this workbook. These are described in detail on the first sheet where they apply. On subsequent sheets it is assumed that the user will be familiar with the convention. So again, it is best to work through the sheets in order and read the sheet instructions before entering information into each worksheet.</t>
  </si>
  <si>
    <t>7) Cell colors are used consistently to aid in understanding how to fill out each sheet. Yellow - Instructions; Blue - Headings; White - User-entry; Green - Calculated; Red - Errors or invalid values.</t>
  </si>
  <si>
    <t>8) If it is unclear why certain cells are red, the sheet instructions may help. While cells are red, the workbook will not allow exporting as FOIA XML, since the resulting XML file would not be valid.</t>
  </si>
  <si>
    <t>9) Each worksheet allows entry of footnotes at the bottom of the sheet. If you are unable to comply with a specific reporting requirement, please use this area to include an explanatory footnote associated with the report section. Note that no means is provided for flagging a specific cell or cells to which the footnote applies. The wording of the footnote itself must make it clear to which data the footnote applies.</t>
  </si>
  <si>
    <t>Blank lines are ignored, but if the component column is filled in, all other editable columns must be filled in.
* "Number of Backlogged Requests" column must contain non-negative integers.
* "Number of Backlogged Appeals" column must contain non-negative integers, or the special value "N/A".</t>
  </si>
  <si>
    <r>
      <t xml:space="preserve">You must enable Excel macros to use this workbook. If this is the only page you can view, macros are currently disabled.
</t>
    </r>
    <r>
      <rPr>
        <sz val="11"/>
        <color indexed="8"/>
        <rFont val="Calibri"/>
        <family val="2"/>
      </rPr>
      <t xml:space="preserve">Depending on the version of Excel you are using, and on your macro security settings, the process for enabling
macros can vary.
If Excel presents an option for enabling macros when you open this workbook, you must choose the option to
enable macros. This workbook cannot be used with macros disabled.
If Excel does not present an option for enabling macros, please read the Excel-version-specific notes below for
guidance on enabling macros.
</t>
    </r>
    <r>
      <rPr>
        <b/>
        <sz val="11"/>
        <color indexed="8"/>
        <rFont val="Calibri"/>
        <family val="2"/>
      </rPr>
      <t xml:space="preserve">
If you are using Excel 2003:
</t>
    </r>
    <r>
      <rPr>
        <sz val="11"/>
        <color indexed="8"/>
        <rFont val="Calibri"/>
        <family val="2"/>
      </rPr>
      <t xml:space="preserve">1. In Excel, choose "Tools" from the menu, then "Macro", then "Security...". Select the "Security Level" tab, then
choose "Medium".
2. Close and reopen this workbook. You should now be presented with an option for enabling macros.
See "http://msdn.microsoft.com/en-us/library/aa203729(office.11).aspx" for more information.
</t>
    </r>
    <r>
      <rPr>
        <b/>
        <sz val="11"/>
        <color indexed="8"/>
        <rFont val="Calibri"/>
        <family val="2"/>
      </rPr>
      <t>If you are using Excel 2007 or 2010:</t>
    </r>
    <r>
      <rPr>
        <sz val="11"/>
        <color indexed="8"/>
        <rFont val="Calibri"/>
        <family val="2"/>
      </rPr>
      <t xml:space="preserve">
</t>
    </r>
    <r>
      <rPr>
        <b/>
        <sz val="11"/>
        <color indexed="8"/>
        <rFont val="Calibri"/>
        <family val="2"/>
      </rPr>
      <t xml:space="preserve">Option 1 - Place FOIA template (.XLT) in a "Trusted Location" on your computer.
</t>
    </r>
    <r>
      <rPr>
        <sz val="11"/>
        <color indexed="8"/>
        <rFont val="Calibri"/>
        <family val="2"/>
      </rPr>
      <t xml:space="preserve">1. On the Developer tab, in the Code group, click Macro Security. If the Developer tab is not displayed, click the
Microsoft Office Button (upper left corner of Excel), click Excel Options, and then in the Popular category, under
Top options for working with Excel, click Show Developer tab in the Ribbon.
2. Choose "Trusted Locations" in the menu on the left of the dialog, and either make note of a current directory
where you will place the FOIA template, or add a new trusted location.
3. Copy the FOIA template to the trusted location, then close and reopen that copy.
</t>
    </r>
    <r>
      <rPr>
        <b/>
        <sz val="11"/>
        <color indexed="8"/>
        <rFont val="Calibri"/>
        <family val="2"/>
      </rPr>
      <t xml:space="preserve">Option 2 - Change Excel Macro Security Level
</t>
    </r>
    <r>
      <rPr>
        <sz val="11"/>
        <color indexed="8"/>
        <rFont val="Calibri"/>
        <family val="2"/>
      </rPr>
      <t>1. On the Developer tab, in the Code group, click Macro Security. If the Developer tab is not displayed, click the
Microsoft Office Button (upper left corner of Excel), click Excel Options, and then in the Popular category, under
Top options for working with Excel, click Show Developer tab in the Ribbon.
2. Choose "Macro Setting" in the menu on the left of the dialog, then choose "Disable all macros with
notification" in the pane to the right.
3. Close and reopen this workbook. You should now be presented with an option for enabling macros.
See "http://office.microsoft.com/en-us/excel-help/change-macro-security-settings-in-excel-HP010096919.aspx"
for more information.</t>
    </r>
  </si>
  <si>
    <t>Agency / Component</t>
  </si>
  <si>
    <t>Number of Times
Relied upon
by Agency / Component</t>
  </si>
  <si>
    <t>Total Number of
Times Relied upon
by Agency Overall</t>
  </si>
  <si>
    <t>Other *Explain in Chart Below</t>
  </si>
  <si>
    <t>Description of "Other" Reasons for Denials from Chart B(1)</t>
  </si>
  <si>
    <t>Description of "Other" Reasons for Denial on Appeal from Chart C(2)</t>
  </si>
  <si>
    <t>&lt;1-20
Days</t>
  </si>
  <si>
    <t>XII.A. Backlogs of FOIA Requests and Administrative Appeals</t>
  </si>
  <si>
    <r>
      <t xml:space="preserve">Number of Consultations Received from Other Agencies that were </t>
    </r>
    <r>
      <rPr>
        <b/>
        <u/>
        <sz val="9"/>
        <color indexed="56"/>
        <rFont val="Calibri"/>
        <family val="2"/>
      </rPr>
      <t>Pending</t>
    </r>
    <r>
      <rPr>
        <b/>
        <sz val="9"/>
        <color indexed="56"/>
        <rFont val="Calibri"/>
        <family val="2"/>
      </rPr>
      <t xml:space="preserve"> at the Agency as of </t>
    </r>
    <r>
      <rPr>
        <b/>
        <u/>
        <sz val="9"/>
        <color indexed="56"/>
        <rFont val="Calibri"/>
        <family val="2"/>
      </rPr>
      <t>Start</t>
    </r>
    <r>
      <rPr>
        <b/>
        <sz val="9"/>
        <color indexed="56"/>
        <rFont val="Calibri"/>
        <family val="2"/>
      </rPr>
      <t xml:space="preserve">
of the Fiscal Year</t>
    </r>
  </si>
  <si>
    <r>
      <t xml:space="preserve">Number of Consultations Received from Other Agencies that were </t>
    </r>
    <r>
      <rPr>
        <b/>
        <u/>
        <sz val="9"/>
        <color indexed="56"/>
        <rFont val="Calibri"/>
        <family val="2"/>
      </rPr>
      <t>Processed</t>
    </r>
    <r>
      <rPr>
        <b/>
        <sz val="9"/>
        <color indexed="56"/>
        <rFont val="Calibri"/>
        <family val="2"/>
      </rPr>
      <t xml:space="preserve"> by the Agency During the Fiscal Year</t>
    </r>
  </si>
  <si>
    <r>
      <t xml:space="preserve">Number of Consultations Received from Other Agencies that were </t>
    </r>
    <r>
      <rPr>
        <b/>
        <u/>
        <sz val="9"/>
        <color indexed="56"/>
        <rFont val="Calibri"/>
        <family val="2"/>
      </rPr>
      <t>Pending</t>
    </r>
    <r>
      <rPr>
        <b/>
        <sz val="9"/>
        <color indexed="56"/>
        <rFont val="Calibri"/>
        <family val="2"/>
      </rPr>
      <t xml:space="preserve"> at the Agency as of </t>
    </r>
    <r>
      <rPr>
        <b/>
        <u/>
        <sz val="9"/>
        <color indexed="56"/>
        <rFont val="Calibri"/>
        <family val="2"/>
      </rPr>
      <t>End</t>
    </r>
    <r>
      <rPr>
        <b/>
        <sz val="9"/>
        <color indexed="56"/>
        <rFont val="Calibri"/>
        <family val="2"/>
      </rPr>
      <t xml:space="preserve">
of the Fiscal Year</t>
    </r>
  </si>
  <si>
    <t>National Council on Disability</t>
  </si>
  <si>
    <t>NCD</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</si>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</sst>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yyyy\-mm\-dd"/>
    <numFmt numFmtId="165" formatCode="&quot;$&quot;#,##0.00"/>
  </numFmts>
  <fonts count="22" x14ac:knownFonts="1">
    <font>
      <sz val="11"/>
      <color theme="1"/>
      <name val="Calibri"/>
      <family val="2"/>
      <scheme val="minor"/>
    </font>
    <font>
      <sz val="11"/>
      <color indexed="8"/>
      <name val="Calibri"/>
      <family val="2"/>
    </font>
    <font>
      <sz val="10"/>
      <name val="Arial"/>
      <family val="2"/>
    </font>
    <font>
      <b/>
      <sz val="10"/>
      <name val="Arial"/>
      <family val="2"/>
    </font>
    <font>
      <b/>
      <sz val="11"/>
      <color indexed="8"/>
      <name val="Calibri"/>
      <family val="2"/>
    </font>
    <font>
      <b/>
      <sz val="9"/>
      <color indexed="56"/>
      <name val="Calibri"/>
      <family val="2"/>
    </font>
    <font>
      <b/>
      <u/>
      <sz val="9"/>
      <color indexed="56"/>
      <name val="Calibri"/>
      <family val="2"/>
    </font>
    <font>
      <sz val="10"/>
      <color indexed="8"/>
      <name val="Calibri"/>
      <family val="2"/>
    </font>
    <font>
      <b/>
      <i/>
      <sz val="10"/>
      <color indexed="8"/>
      <name val="Calibri"/>
      <family val="2"/>
    </font>
    <font>
      <sz val="11"/>
      <color theme="1"/>
      <name val="Calibri"/>
      <family val="2"/>
      <scheme val="minor"/>
    </font>
    <font>
      <b/>
      <sz val="11"/>
      <color theme="3" tint="-0.499984740745262"/>
      <name val="Calibri"/>
      <family val="2"/>
      <scheme val="minor"/>
    </font>
    <font>
      <b/>
      <sz val="9"/>
      <color theme="3" tint="-0.499984740745262"/>
      <name val="Calibri"/>
      <family val="2"/>
      <scheme val="minor"/>
    </font>
    <font>
      <sz val="11"/>
      <color theme="3" tint="-0.24994659260841701"/>
      <name val="Calibri"/>
      <family val="2"/>
      <scheme val="minor"/>
    </font>
    <font>
      <b/>
      <sz val="12"/>
      <color theme="3" tint="-0.24994659260841701"/>
      <name val="Calibri"/>
      <family val="2"/>
      <scheme val="minor"/>
    </font>
    <font>
      <b/>
      <sz val="11"/>
      <color theme="1"/>
      <name val="Calibri"/>
      <family val="2"/>
      <scheme val="minor"/>
    </font>
    <font>
      <sz val="10"/>
      <color theme="1"/>
      <name val="Calibri"/>
      <family val="2"/>
      <scheme val="minor"/>
    </font>
    <font>
      <sz val="10"/>
      <color theme="1"/>
      <name val="Arial"/>
      <family val="2"/>
    </font>
    <font>
      <sz val="11"/>
      <color theme="1"/>
      <name val="Arial"/>
      <family val="2"/>
    </font>
    <font>
      <b/>
      <sz val="14"/>
      <color theme="3" tint="-0.24994659260841701"/>
      <name val="Calibri"/>
      <family val="2"/>
      <scheme val="minor"/>
    </font>
    <font>
      <sz val="9"/>
      <color theme="3" tint="-0.24994659260841701"/>
      <name val="Calibri"/>
      <family val="2"/>
      <scheme val="minor"/>
    </font>
    <font>
      <b/>
      <sz val="10"/>
      <color theme="1"/>
      <name val="Calibri"/>
      <family val="2"/>
      <scheme val="minor"/>
    </font>
    <font>
      <i/>
      <sz val="10"/>
      <color theme="1"/>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rgb="FF92D050"/>
        <bgColor indexed="64"/>
      </patternFill>
    </fill>
    <fill>
      <patternFill patternType="solid">
        <fgColor theme="3" tint="0.59996337778862885"/>
        <bgColor indexed="64"/>
      </patternFill>
    </fill>
    <fill>
      <patternFill patternType="solid">
        <fgColor rgb="FFFFFFCC"/>
      </patternFill>
    </fill>
    <fill>
      <patternFill patternType="solid">
        <fgColor rgb="FFFEB4B6"/>
        <bgColor indexed="64"/>
      </patternFill>
    </fill>
  </fills>
  <borders count="29">
    <border>
      <left/>
      <right/>
      <top/>
      <bottom/>
      <diagonal/>
    </border>
    <border>
      <left style="thin">
        <color theme="3" tint="-0.499984740745262"/>
      </left>
      <right style="thin">
        <color theme="3" tint="-0.499984740745262"/>
      </right>
      <top style="thin">
        <color theme="3" tint="-0.499984740745262"/>
      </top>
      <bottom style="thin">
        <color theme="3"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theme="0" tint="-0.24994659260841701"/>
      </left>
      <right style="thin">
        <color theme="0"/>
      </right>
      <top style="thin">
        <color theme="0"/>
      </top>
      <bottom style="thin">
        <color theme="0" tint="-0.24994659260841701"/>
      </bottom>
      <diagonal/>
    </border>
    <border>
      <left style="thin">
        <color theme="3" tint="-0.499984740745262"/>
      </left>
      <right style="thin">
        <color theme="3" tint="-0.499984740745262"/>
      </right>
      <top/>
      <bottom style="thin">
        <color theme="3" tint="-0.499984740745262"/>
      </bottom>
      <diagonal/>
    </border>
    <border>
      <left style="thin">
        <color theme="3" tint="-0.499984740745262"/>
      </left>
      <right style="thin">
        <color theme="3" tint="-0.499984740745262"/>
      </right>
      <top style="thin">
        <color theme="3" tint="-0.499984740745262"/>
      </top>
      <bottom/>
      <diagonal/>
    </border>
    <border>
      <left/>
      <right/>
      <top style="thin">
        <color rgb="FFB2B2B2"/>
      </top>
      <bottom/>
      <diagonal/>
    </border>
    <border>
      <left/>
      <right/>
      <top style="thin">
        <color rgb="FF7F7F7F"/>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bottom style="thin">
        <color rgb="FF7F7F7F"/>
      </bottom>
      <diagonal/>
    </border>
    <border>
      <left style="thin">
        <color rgb="FFB2B2B2"/>
      </left>
      <right/>
      <top/>
      <bottom/>
      <diagonal/>
    </border>
    <border>
      <left style="thin">
        <color rgb="FF7F7F7F"/>
      </left>
      <right style="thin">
        <color rgb="FF7F7F7F"/>
      </right>
      <top style="thin">
        <color theme="3" tint="-0.499984740745262"/>
      </top>
      <bottom/>
      <diagonal/>
    </border>
    <border>
      <left style="thin">
        <color rgb="FF7F7F7F"/>
      </left>
      <right style="thin">
        <color rgb="FF7F7F7F"/>
      </right>
      <top/>
      <bottom style="thin">
        <color rgb="FF7F7F7F"/>
      </bottom>
      <diagonal/>
    </border>
    <border>
      <left style="thin">
        <color theme="3" tint="-0.499984740745262"/>
      </left>
      <right/>
      <top style="thin">
        <color theme="3" tint="-0.499984740745262"/>
      </top>
      <bottom style="thin">
        <color theme="3" tint="-0.499984740745262"/>
      </bottom>
      <diagonal/>
    </border>
    <border>
      <left/>
      <right/>
      <top style="thin">
        <color theme="3" tint="-0.499984740745262"/>
      </top>
      <bottom style="thin">
        <color theme="3" tint="-0.499984740745262"/>
      </bottom>
      <diagonal/>
    </border>
    <border>
      <left/>
      <right style="thin">
        <color theme="3" tint="-0.499984740745262"/>
      </right>
      <top style="thin">
        <color theme="3" tint="-0.499984740745262"/>
      </top>
      <bottom style="thin">
        <color theme="3" tint="-0.499984740745262"/>
      </bottom>
      <diagonal/>
    </border>
    <border>
      <left style="thin">
        <color theme="0" tint="-0.24994659260841701"/>
      </left>
      <right/>
      <top style="thin">
        <color theme="0"/>
      </top>
      <bottom style="thin">
        <color theme="0" tint="-0.24994659260841701"/>
      </bottom>
      <diagonal/>
    </border>
    <border>
      <left/>
      <right/>
      <top style="thin">
        <color theme="0"/>
      </top>
      <bottom style="thin">
        <color theme="0" tint="-0.24994659260841701"/>
      </bottom>
      <diagonal/>
    </border>
    <border>
      <left/>
      <right style="thin">
        <color theme="0" tint="-0.24994659260841701"/>
      </right>
      <top style="thin">
        <color theme="0"/>
      </top>
      <bottom style="thin">
        <color theme="0" tint="-0.24994659260841701"/>
      </bottom>
      <diagonal/>
    </border>
    <border>
      <left style="thin">
        <color rgb="FF7F7F7F"/>
      </left>
      <right style="thin">
        <color rgb="FF7F7F7F"/>
      </right>
      <top/>
      <bottom style="thin">
        <color theme="3" tint="-0.499984740745262"/>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style="thin">
        <color rgb="FF7F7F7F"/>
      </left>
      <right style="thin">
        <color theme="3" tint="-0.499984740745262"/>
      </right>
      <top style="thin">
        <color theme="3" tint="-0.499984740745262"/>
      </top>
      <bottom/>
      <diagonal/>
    </border>
    <border>
      <left style="thin">
        <color rgb="FF7F7F7F"/>
      </left>
      <right style="thin">
        <color theme="3" tint="-0.499984740745262"/>
      </right>
      <top/>
      <bottom style="thin">
        <color theme="3" tint="-0.499984740745262"/>
      </bottom>
      <diagonal/>
    </border>
    <border>
      <left/>
      <right style="thin">
        <color theme="0"/>
      </right>
      <top style="thin">
        <color theme="0"/>
      </top>
      <bottom style="thin">
        <color theme="0" tint="-0.24994659260841701"/>
      </bottom>
      <diagonal/>
    </border>
  </borders>
  <cellStyleXfs count="8">
    <xf numFmtId="0" fontId="0" fillId="0" borderId="0"/>
    <xf numFmtId="0" fontId="9" fillId="2" borderId="0" applyNumberFormat="0" applyFont="0" applyAlignment="0"/>
    <xf numFmtId="0" fontId="10" fillId="3" borderId="1" applyNumberFormat="0">
      <alignment horizontal="left" vertical="center"/>
    </xf>
    <xf numFmtId="0" fontId="11" fillId="4" borderId="1" applyNumberFormat="0">
      <alignment horizontal="center" vertical="center" wrapText="1"/>
    </xf>
    <xf numFmtId="0" fontId="12" fillId="0" borderId="2" applyNumberFormat="0">
      <alignment horizontal="left"/>
      <protection locked="0"/>
    </xf>
    <xf numFmtId="0" fontId="2" fillId="0" borderId="0"/>
    <xf numFmtId="0" fontId="13" fillId="2" borderId="4"/>
    <xf numFmtId="0" fontId="15" fillId="5" borderId="3" applyNumberFormat="0">
      <alignment vertical="top" wrapText="1"/>
    </xf>
  </cellStyleXfs>
  <cellXfs count="155">
    <xf numFmtId="0" fontId="0" fillId="0" borderId="0" xfId="0"/>
    <xf numFmtId="0" fontId="11" fillId="4" borderId="1" xfId="3">
      <alignment horizontal="center" vertical="center" wrapText="1"/>
    </xf>
    <xf numFmtId="164" fontId="12" fillId="0" borderId="2" xfId="4" applyNumberFormat="1">
      <alignment horizontal="left"/>
      <protection locked="0"/>
    </xf>
    <xf numFmtId="0" fontId="3" fillId="0" borderId="0" xfId="5" applyFont="1"/>
    <xf numFmtId="0" fontId="3" fillId="0" borderId="0" xfId="5" applyFont="1" applyAlignment="1">
      <alignment horizontal="right"/>
    </xf>
    <xf numFmtId="0" fontId="3" fillId="0" borderId="0" xfId="5" applyFont="1" applyAlignment="1">
      <alignment horizontal="center"/>
    </xf>
    <xf numFmtId="0" fontId="9" fillId="2" borderId="0" xfId="1" applyFont="1"/>
    <xf numFmtId="0" fontId="2" fillId="0" borderId="0" xfId="5" applyFont="1"/>
    <xf numFmtId="0" fontId="16" fillId="0" borderId="0" xfId="0" applyFont="1"/>
    <xf numFmtId="0" fontId="17" fillId="0" borderId="0" xfId="0" applyFont="1"/>
    <xf numFmtId="0" fontId="18" fillId="2" borderId="0" xfId="1" applyFont="1"/>
    <xf numFmtId="0" fontId="9" fillId="2" borderId="0" xfId="1" applyFont="1"/>
    <xf numFmtId="0" fontId="9" fillId="2" borderId="0" xfId="1" applyFont="1"/>
    <xf numFmtId="0" fontId="13" fillId="2" borderId="4" xfId="6"/>
    <xf numFmtId="0" fontId="9" fillId="2" borderId="0" xfId="1" applyFont="1"/>
    <xf numFmtId="0" fontId="9" fillId="2" borderId="0" xfId="1" applyFont="1"/>
    <xf numFmtId="3" fontId="12" fillId="0" borderId="2" xfId="4" applyNumberFormat="1" applyAlignment="1">
      <alignment horizontal="right"/>
      <protection locked="0"/>
    </xf>
    <xf numFmtId="3" fontId="10" fillId="3" borderId="1" xfId="2" applyNumberFormat="1" applyAlignment="1">
      <alignment horizontal="right" vertical="center"/>
    </xf>
    <xf numFmtId="0" fontId="13" fillId="2" borderId="4" xfId="6"/>
    <xf numFmtId="0" fontId="13" fillId="2" borderId="4" xfId="6"/>
    <xf numFmtId="0" fontId="9" fillId="2" borderId="0" xfId="1" applyFont="1" applyAlignment="1">
      <alignment horizontal="center"/>
    </xf>
    <xf numFmtId="0" fontId="12" fillId="2" borderId="0" xfId="1" applyFont="1" applyAlignment="1">
      <alignment horizontal="left"/>
    </xf>
    <xf numFmtId="0" fontId="12" fillId="0" borderId="2" xfId="4" applyAlignment="1">
      <alignment horizontal="left" vertical="top" wrapText="1"/>
      <protection locked="0"/>
    </xf>
    <xf numFmtId="0" fontId="12" fillId="0" borderId="2" xfId="4" applyAlignment="1">
      <alignment horizontal="left" vertical="top"/>
      <protection locked="0"/>
    </xf>
    <xf numFmtId="3" fontId="12" fillId="0" borderId="2" xfId="4" applyNumberFormat="1" applyAlignment="1">
      <alignment horizontal="right" vertical="top"/>
      <protection locked="0"/>
    </xf>
    <xf numFmtId="0" fontId="13" fillId="2" borderId="4" xfId="6"/>
    <xf numFmtId="0" fontId="13" fillId="2" borderId="4" xfId="6"/>
    <xf numFmtId="0" fontId="13" fillId="2" borderId="4" xfId="6"/>
    <xf numFmtId="3" fontId="10" fillId="2" borderId="0" xfId="1" applyNumberFormat="1" applyFont="1" applyAlignment="1">
      <alignment horizontal="right" vertical="center"/>
    </xf>
    <xf numFmtId="0" fontId="9" fillId="2" borderId="0" xfId="1" applyFont="1" applyAlignment="1">
      <alignment wrapText="1"/>
    </xf>
    <xf numFmtId="0" fontId="9" fillId="2" borderId="0" xfId="1" applyFont="1" applyAlignment="1">
      <alignment wrapText="1"/>
    </xf>
    <xf numFmtId="3" fontId="10" fillId="3" borderId="1" xfId="2" applyNumberFormat="1">
      <alignment horizontal="left" vertical="center"/>
    </xf>
    <xf numFmtId="0" fontId="9" fillId="2" borderId="0" xfId="1" applyFont="1" applyAlignment="1">
      <alignment wrapText="1"/>
    </xf>
    <xf numFmtId="0" fontId="13" fillId="2" borderId="4" xfId="6"/>
    <xf numFmtId="0" fontId="9" fillId="2" borderId="0" xfId="1" applyFont="1" applyAlignment="1">
      <alignment wrapText="1"/>
    </xf>
    <xf numFmtId="0" fontId="13" fillId="2" borderId="4" xfId="6"/>
    <xf numFmtId="0" fontId="9" fillId="2" borderId="0" xfId="1" applyFont="1" applyAlignment="1">
      <alignment wrapText="1"/>
    </xf>
    <xf numFmtId="0" fontId="13" fillId="2" borderId="4" xfId="6"/>
    <xf numFmtId="0" fontId="13" fillId="2" borderId="4" xfId="6"/>
    <xf numFmtId="0" fontId="13" fillId="2" borderId="4" xfId="6"/>
    <xf numFmtId="4" fontId="12" fillId="0" borderId="2" xfId="4" applyNumberFormat="1" applyAlignment="1">
      <alignment horizontal="right"/>
      <protection locked="0"/>
    </xf>
    <xf numFmtId="0" fontId="13" fillId="2" borderId="4" xfId="6"/>
    <xf numFmtId="0" fontId="9" fillId="2" borderId="0" xfId="1" applyFont="1" applyAlignment="1">
      <alignment vertical="top"/>
    </xf>
    <xf numFmtId="0" fontId="11" fillId="4" borderId="1" xfId="3" applyAlignment="1">
      <alignment horizontal="center" vertical="center" wrapText="1"/>
    </xf>
    <xf numFmtId="0" fontId="9" fillId="2" borderId="0" xfId="1" applyFont="1" applyAlignment="1">
      <alignment wrapText="1"/>
    </xf>
    <xf numFmtId="0" fontId="13" fillId="2" borderId="4" xfId="6"/>
    <xf numFmtId="0" fontId="13" fillId="2" borderId="4" xfId="6"/>
    <xf numFmtId="0" fontId="12" fillId="0" borderId="2" xfId="4" applyNumberFormat="1" applyAlignment="1">
      <alignment horizontal="right"/>
      <protection locked="0"/>
    </xf>
    <xf numFmtId="0" fontId="13" fillId="2" borderId="4" xfId="6"/>
    <xf numFmtId="0" fontId="13" fillId="2" borderId="4" xfId="6"/>
    <xf numFmtId="0" fontId="13" fillId="2" borderId="4" xfId="6"/>
    <xf numFmtId="0" fontId="13" fillId="2" borderId="4" xfId="6"/>
    <xf numFmtId="0" fontId="9" fillId="2" borderId="0" xfId="1" applyFont="1" applyAlignment="1">
      <alignment vertical="top"/>
    </xf>
    <xf numFmtId="0" fontId="13" fillId="2" borderId="4" xfId="6"/>
    <xf numFmtId="0" fontId="11" fillId="4" borderId="5" xfId="3" applyBorder="1">
      <alignment horizontal="center" vertical="center" wrapText="1"/>
    </xf>
    <xf numFmtId="0" fontId="13" fillId="2" borderId="4" xfId="6"/>
    <xf numFmtId="0" fontId="11" fillId="4" borderId="5" xfId="3" applyBorder="1">
      <alignment horizontal="center" vertical="center" wrapText="1"/>
    </xf>
    <xf numFmtId="0" fontId="9" fillId="2" borderId="0" xfId="1" applyFont="1" applyAlignment="1">
      <alignment wrapText="1"/>
    </xf>
    <xf numFmtId="0" fontId="13" fillId="2" borderId="4" xfId="6"/>
    <xf numFmtId="165" fontId="12" fillId="0" borderId="2" xfId="4" applyNumberFormat="1" applyAlignment="1">
      <alignment horizontal="right"/>
      <protection locked="0"/>
    </xf>
    <xf numFmtId="165" fontId="10" fillId="3" borderId="1" xfId="2" applyNumberFormat="1" applyAlignment="1">
      <alignment horizontal="right"/>
    </xf>
    <xf numFmtId="0" fontId="9" fillId="2" borderId="0" xfId="1" applyFont="1" applyAlignment="1">
      <alignment wrapText="1"/>
    </xf>
    <xf numFmtId="0" fontId="10" fillId="3" borderId="1" xfId="2" applyNumberFormat="1" applyAlignment="1">
      <alignment horizontal="right"/>
    </xf>
    <xf numFmtId="10" fontId="10" fillId="3" borderId="1" xfId="2" applyNumberFormat="1" applyAlignment="1">
      <alignment horizontal="right"/>
    </xf>
    <xf numFmtId="0" fontId="12" fillId="0" borderId="2" xfId="4">
      <alignment horizontal="left"/>
      <protection locked="0"/>
    </xf>
    <xf numFmtId="3" fontId="10" fillId="3" borderId="1" xfId="2" applyNumberFormat="1" applyAlignment="1">
      <alignment horizontal="right"/>
    </xf>
    <xf numFmtId="0" fontId="9" fillId="2" borderId="0" xfId="1" applyFont="1"/>
    <xf numFmtId="0" fontId="13" fillId="2" borderId="4" xfId="6"/>
    <xf numFmtId="0" fontId="11" fillId="4" borderId="5" xfId="3" applyBorder="1">
      <alignment horizontal="center" vertical="center" wrapText="1"/>
    </xf>
    <xf numFmtId="0" fontId="9" fillId="2" borderId="0" xfId="1" applyFont="1" applyAlignment="1">
      <alignment vertical="top"/>
    </xf>
    <xf numFmtId="0" fontId="9" fillId="2" borderId="0" xfId="1" applyFont="1" applyAlignment="1">
      <alignment wrapText="1"/>
    </xf>
    <xf numFmtId="0" fontId="13" fillId="2" borderId="4" xfId="6"/>
    <xf numFmtId="0" fontId="9" fillId="2" borderId="0" xfId="1" applyFont="1" applyAlignment="1">
      <alignment wrapText="1"/>
    </xf>
    <xf numFmtId="0" fontId="13" fillId="2" borderId="4" xfId="6"/>
    <xf numFmtId="0" fontId="11" fillId="4" borderId="5" xfId="3" applyBorder="1">
      <alignment horizontal="center" vertical="center" wrapText="1"/>
    </xf>
    <xf numFmtId="0" fontId="13" fillId="2" borderId="4" xfId="6"/>
    <xf numFmtId="0" fontId="9" fillId="2" borderId="0" xfId="1" applyFont="1" applyAlignment="1">
      <alignment wrapText="1"/>
    </xf>
    <xf numFmtId="0" fontId="9" fillId="2" borderId="0" xfId="1" applyFont="1" applyAlignment="1">
      <alignment wrapText="1"/>
    </xf>
    <xf numFmtId="0" fontId="9" fillId="2" borderId="0" xfId="1" applyFont="1" applyAlignment="1">
      <alignment wrapText="1"/>
    </xf>
    <xf numFmtId="0" fontId="13" fillId="2" borderId="4" xfId="6"/>
    <xf numFmtId="0" fontId="13" fillId="2" borderId="0" xfId="1" applyFont="1"/>
    <xf numFmtId="0" fontId="9" fillId="2" borderId="0" xfId="1" applyFont="1" applyAlignment="1">
      <alignment vertical="top"/>
    </xf>
    <xf numFmtId="0" fontId="9" fillId="2" borderId="0" xfId="1" applyFont="1" applyAlignment="1">
      <alignment wrapText="1"/>
    </xf>
    <xf numFmtId="0" fontId="12" fillId="0" borderId="2" xfId="4" applyNumberFormat="1" applyAlignment="1">
      <alignment horizontal="left" wrapText="1"/>
      <protection locked="0"/>
    </xf>
    <xf numFmtId="0" fontId="15" fillId="2" borderId="0" xfId="1" applyFont="1" applyAlignment="1">
      <alignment vertical="top" wrapText="1"/>
    </xf>
    <xf numFmtId="164" fontId="19" fillId="0" borderId="2" xfId="4" applyNumberFormat="1" applyFont="1" applyAlignment="1">
      <alignment horizontal="right"/>
      <protection locked="0"/>
    </xf>
    <xf numFmtId="1" fontId="19" fillId="0" borderId="2" xfId="4" applyNumberFormat="1" applyFont="1" applyAlignment="1">
      <alignment horizontal="right"/>
      <protection locked="0"/>
    </xf>
    <xf numFmtId="0" fontId="13" fillId="2" borderId="4" xfId="6"/>
    <xf numFmtId="0" fontId="9" fillId="2" borderId="0" xfId="1" applyFont="1" applyAlignment="1">
      <alignment wrapText="1"/>
    </xf>
    <xf numFmtId="0" fontId="9" fillId="2" borderId="0" xfId="1" applyFont="1" applyAlignment="1">
      <alignment vertical="top"/>
    </xf>
    <xf numFmtId="0" fontId="9" fillId="2" borderId="0" xfId="1" applyFont="1" applyAlignment="1">
      <alignment vertical="top"/>
    </xf>
    <xf numFmtId="0" fontId="11" fillId="4" borderId="1" xfId="3">
      <alignment horizontal="center" vertical="center" wrapText="1"/>
    </xf>
    <xf numFmtId="0" fontId="14" fillId="0" borderId="0" xfId="0" applyFont="1" applyBorder="1" applyAlignment="1">
      <alignment wrapText="1"/>
    </xf>
    <xf numFmtId="0" fontId="0" fillId="0" borderId="0" xfId="0" applyBorder="1" applyAlignment="1">
      <alignment wrapText="1"/>
    </xf>
    <xf numFmtId="0" fontId="0" fillId="0" borderId="0" xfId="0" applyAlignment="1">
      <alignment wrapText="1"/>
    </xf>
    <xf numFmtId="0" fontId="12" fillId="0" borderId="2" xfId="4" applyAlignment="1" applyProtection="1">
      <alignment horizontal="left" vertical="top" wrapText="1"/>
      <protection locked="0"/>
    </xf>
    <xf numFmtId="0" fontId="15" fillId="5" borderId="0" xfId="7" applyBorder="1">
      <alignment vertical="top" wrapText="1"/>
    </xf>
    <xf numFmtId="0" fontId="11" fillId="4" borderId="1" xfId="3" applyBorder="1" applyAlignment="1">
      <alignment horizontal="center" vertical="center" wrapText="1"/>
    </xf>
    <xf numFmtId="0" fontId="11" fillId="4" borderId="1" xfId="3" applyBorder="1">
      <alignment horizontal="center" vertical="center" wrapText="1"/>
    </xf>
    <xf numFmtId="0" fontId="11" fillId="4" borderId="1" xfId="3">
      <alignment horizontal="center" vertical="center" wrapText="1"/>
    </xf>
    <xf numFmtId="0" fontId="11" fillId="4" borderId="6" xfId="3" applyBorder="1" applyAlignment="1">
      <alignment horizontal="center" vertical="center" wrapText="1"/>
    </xf>
    <xf numFmtId="0" fontId="11" fillId="4" borderId="5" xfId="3" applyBorder="1" applyAlignment="1">
      <alignment horizontal="center" vertical="center" wrapText="1"/>
    </xf>
    <xf numFmtId="0" fontId="11" fillId="4" borderId="1" xfId="3">
      <alignment horizontal="center" vertical="center" wrapText="1"/>
    </xf>
    <xf numFmtId="0" fontId="11" fillId="4" borderId="1" xfId="3">
      <alignment horizontal="center" vertical="center" wrapText="1"/>
    </xf>
    <xf numFmtId="0" fontId="11" fillId="4" borderId="1" xfId="3">
      <alignment horizontal="center" vertical="center" wrapText="1"/>
    </xf>
    <xf numFmtId="0" fontId="12" fillId="0" borderId="2" xfId="4">
      <alignment horizontal="left"/>
      <protection locked="0"/>
    </xf>
    <xf numFmtId="0" fontId="11" fillId="4" borderId="1" xfId="3">
      <alignment horizontal="center" vertical="center" wrapText="1"/>
    </xf>
    <xf numFmtId="0" fontId="4" fillId="6" borderId="7" xfId="7" applyFont="1" applyFill="1" applyBorder="1">
      <alignment vertical="top" wrapText="1"/>
    </xf>
    <xf numFmtId="0" fontId="4" fillId="6" borderId="0" xfId="7" applyFont="1" applyFill="1" applyBorder="1">
      <alignment vertical="top" wrapText="1"/>
    </xf>
    <xf numFmtId="0" fontId="14" fillId="5" borderId="7" xfId="7" applyFont="1" applyBorder="1" applyAlignment="1">
      <alignment vertical="top" wrapText="1"/>
    </xf>
    <xf numFmtId="0" fontId="20" fillId="5" borderId="7" xfId="7" applyFont="1" applyBorder="1" applyAlignment="1">
      <alignment vertical="top" wrapText="1"/>
    </xf>
    <xf numFmtId="0" fontId="15" fillId="5" borderId="0" xfId="7" applyBorder="1">
      <alignment vertical="top" wrapText="1"/>
    </xf>
    <xf numFmtId="0" fontId="15" fillId="5" borderId="0" xfId="7" applyNumberFormat="1" applyBorder="1">
      <alignment vertical="top" wrapText="1"/>
    </xf>
    <xf numFmtId="0" fontId="14" fillId="5" borderId="0" xfId="7" applyFont="1" applyBorder="1">
      <alignment vertical="top" wrapText="1"/>
    </xf>
    <xf numFmtId="0" fontId="21" fillId="2" borderId="0" xfId="1" applyFont="1" applyAlignment="1">
      <alignment vertical="top" wrapText="1"/>
    </xf>
    <xf numFmtId="0" fontId="15" fillId="5" borderId="3" xfId="7">
      <alignment vertical="top" wrapText="1"/>
    </xf>
    <xf numFmtId="0" fontId="15" fillId="5" borderId="13" xfId="7" applyBorder="1">
      <alignment vertical="top" wrapText="1"/>
    </xf>
    <xf numFmtId="0" fontId="12" fillId="0" borderId="14" xfId="4" applyBorder="1" applyAlignment="1">
      <alignment horizontal="left" vertical="top"/>
      <protection locked="0"/>
    </xf>
    <xf numFmtId="0" fontId="12" fillId="0" borderId="15" xfId="4" applyBorder="1" applyAlignment="1">
      <alignment horizontal="left" vertical="top"/>
      <protection locked="0"/>
    </xf>
    <xf numFmtId="3" fontId="10" fillId="3" borderId="6" xfId="2" applyNumberFormat="1" applyBorder="1" applyAlignment="1">
      <alignment horizontal="right" vertical="center"/>
    </xf>
    <xf numFmtId="3" fontId="10" fillId="3" borderId="5" xfId="2" applyNumberFormat="1" applyBorder="1" applyAlignment="1">
      <alignment horizontal="right" vertical="center"/>
    </xf>
    <xf numFmtId="0" fontId="9" fillId="2" borderId="8" xfId="1" applyFont="1" applyBorder="1" applyAlignment="1">
      <alignment horizontal="center"/>
    </xf>
    <xf numFmtId="0" fontId="12" fillId="0" borderId="9" xfId="4" applyBorder="1" applyAlignment="1">
      <alignment horizontal="left" wrapText="1"/>
      <protection locked="0"/>
    </xf>
    <xf numFmtId="0" fontId="12" fillId="0" borderId="10" xfId="4" applyBorder="1" applyAlignment="1">
      <alignment horizontal="left" wrapText="1"/>
      <protection locked="0"/>
    </xf>
    <xf numFmtId="0" fontId="12" fillId="0" borderId="11" xfId="4" applyBorder="1" applyAlignment="1">
      <alignment horizontal="left" wrapText="1"/>
      <protection locked="0"/>
    </xf>
    <xf numFmtId="0" fontId="12" fillId="0" borderId="9" xfId="4" applyBorder="1" applyAlignment="1" applyProtection="1">
      <alignment horizontal="left" wrapText="1"/>
      <protection locked="0"/>
    </xf>
    <xf numFmtId="0" fontId="12" fillId="0" borderId="10" xfId="4" applyBorder="1" applyAlignment="1" applyProtection="1">
      <alignment horizontal="left" wrapText="1"/>
      <protection locked="0"/>
    </xf>
    <xf numFmtId="0" fontId="12" fillId="0" borderId="11" xfId="4" applyBorder="1" applyAlignment="1" applyProtection="1">
      <alignment horizontal="left" wrapText="1"/>
      <protection locked="0"/>
    </xf>
    <xf numFmtId="0" fontId="9" fillId="2" borderId="12" xfId="1" applyFont="1" applyBorder="1" applyAlignment="1">
      <alignment horizontal="center"/>
    </xf>
    <xf numFmtId="0" fontId="13" fillId="2" borderId="4" xfId="6"/>
    <xf numFmtId="0" fontId="9" fillId="2" borderId="8" xfId="1" applyFont="1" applyBorder="1"/>
    <xf numFmtId="0" fontId="9" fillId="2" borderId="12" xfId="1" applyFont="1" applyBorder="1"/>
    <xf numFmtId="0" fontId="11" fillId="4" borderId="16" xfId="3" applyBorder="1" applyAlignment="1">
      <alignment horizontal="center" vertical="center" wrapText="1"/>
    </xf>
    <xf numFmtId="0" fontId="11" fillId="4" borderId="17" xfId="3" applyBorder="1" applyAlignment="1">
      <alignment horizontal="center" vertical="center" wrapText="1"/>
    </xf>
    <xf numFmtId="0" fontId="11" fillId="4" borderId="18" xfId="3" applyBorder="1" applyAlignment="1">
      <alignment horizontal="center" vertical="center" wrapText="1"/>
    </xf>
    <xf numFmtId="0" fontId="13" fillId="2" borderId="19" xfId="6" applyBorder="1"/>
    <xf numFmtId="0" fontId="13" fillId="2" borderId="20" xfId="6" applyBorder="1"/>
    <xf numFmtId="0" fontId="13" fillId="2" borderId="21" xfId="6" applyBorder="1"/>
    <xf numFmtId="0" fontId="11" fillId="4" borderId="6" xfId="3" applyBorder="1">
      <alignment horizontal="center" vertical="center" wrapText="1"/>
    </xf>
    <xf numFmtId="0" fontId="11" fillId="4" borderId="5" xfId="3" applyBorder="1">
      <alignment horizontal="center" vertical="center" wrapText="1"/>
    </xf>
    <xf numFmtId="0" fontId="11" fillId="4" borderId="6" xfId="3" applyBorder="1" applyAlignment="1">
      <alignment horizontal="center" vertical="center" wrapText="1"/>
    </xf>
    <xf numFmtId="0" fontId="11" fillId="4" borderId="5" xfId="3" applyBorder="1" applyAlignment="1">
      <alignment horizontal="center" vertical="center" wrapText="1"/>
    </xf>
    <xf numFmtId="0" fontId="12" fillId="0" borderId="22" xfId="4" applyBorder="1" applyAlignment="1">
      <alignment horizontal="left" vertical="top"/>
      <protection locked="0"/>
    </xf>
    <xf numFmtId="0" fontId="9" fillId="2" borderId="0" xfId="1" applyFont="1" applyAlignment="1">
      <alignment vertical="top"/>
    </xf>
    <xf numFmtId="0" fontId="9" fillId="2" borderId="0" xfId="1" applyFont="1" applyBorder="1" applyAlignment="1">
      <alignment horizontal="center"/>
    </xf>
    <xf numFmtId="0" fontId="15" fillId="5" borderId="23" xfId="7" applyBorder="1">
      <alignment vertical="top" wrapText="1"/>
    </xf>
    <xf numFmtId="0" fontId="15" fillId="5" borderId="24" xfId="7" applyBorder="1">
      <alignment vertical="top" wrapText="1"/>
    </xf>
    <xf numFmtId="0" fontId="15" fillId="5" borderId="25" xfId="7" applyBorder="1">
      <alignment vertical="top" wrapText="1"/>
    </xf>
    <xf numFmtId="0" fontId="9" fillId="2" borderId="0" xfId="1" applyFont="1" applyBorder="1"/>
    <xf numFmtId="0" fontId="12" fillId="0" borderId="26" xfId="4" applyBorder="1" applyAlignment="1">
      <alignment horizontal="left"/>
      <protection locked="0"/>
    </xf>
    <xf numFmtId="0" fontId="12" fillId="0" borderId="27" xfId="4" applyBorder="1" applyAlignment="1">
      <alignment horizontal="left"/>
      <protection locked="0"/>
    </xf>
    <xf numFmtId="0" fontId="13" fillId="2" borderId="28" xfId="6" applyBorder="1"/>
    <xf numFmtId="0" fontId="11" fillId="4" borderId="1" xfId="3">
      <alignment horizontal="center" vertical="center" wrapText="1"/>
    </xf>
    <xf numFmtId="0" fontId="12" fillId="0" borderId="2" xfId="4" applyAlignment="1">
      <alignment horizontal="left" wrapText="1"/>
      <protection locked="0"/>
    </xf>
    <xf numFmtId="0" fontId="12" fillId="0" borderId="2" xfId="4">
      <alignment horizontal="left"/>
      <protection locked="0"/>
    </xf>
  </cellXfs>
  <cellStyles count="8">
    <cellStyle name="Background" xfId="1"/>
    <cellStyle name="Calculated" xfId="2"/>
    <cellStyle name="Header" xfId="3"/>
    <cellStyle name="Input" xfId="4" builtinId="20" customBuiltin="1"/>
    <cellStyle name="Normal" xfId="0" builtinId="0"/>
    <cellStyle name="Normal 2" xfId="5"/>
    <cellStyle name="Section Title" xfId="6"/>
    <cellStyle name="User Instructions" xfId="7"/>
  </cellStyles>
  <dxfs count="4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EnableMacros"/>
  <dimension ref="B1:L44"/>
  <sheetViews>
    <sheetView showRowColHeaders="0" tabSelected="1" workbookViewId="0"/>
  </sheetViews>
  <sheetFormatPr defaultRowHeight="15" x14ac:dyDescent="0.25"/>
  <cols>
    <col min="1" max="1" width="3.7109375" style="66" customWidth="1"/>
    <col min="2" max="16384" width="9.140625" style="66"/>
  </cols>
  <sheetData>
    <row r="1" spans="2:12" ht="9.9499999999999993" customHeight="1" x14ac:dyDescent="0.25"/>
    <row r="2" spans="2:12" ht="15" customHeight="1" x14ac:dyDescent="0.25">
      <c r="B2" s="107" t="s">
        <v>282</v>
      </c>
      <c r="C2" s="107"/>
      <c r="D2" s="107"/>
      <c r="E2" s="107"/>
      <c r="F2" s="107"/>
      <c r="G2" s="107"/>
      <c r="H2" s="107"/>
      <c r="I2" s="107"/>
      <c r="J2" s="107"/>
      <c r="K2" s="107"/>
      <c r="L2" s="107"/>
    </row>
    <row r="3" spans="2:12" x14ac:dyDescent="0.25">
      <c r="B3" s="108"/>
      <c r="C3" s="108"/>
      <c r="D3" s="108"/>
      <c r="E3" s="108"/>
      <c r="F3" s="108"/>
      <c r="G3" s="108"/>
      <c r="H3" s="108"/>
      <c r="I3" s="108"/>
      <c r="J3" s="108"/>
      <c r="K3" s="108"/>
      <c r="L3" s="108"/>
    </row>
    <row r="4" spans="2:12" x14ac:dyDescent="0.25">
      <c r="B4" s="108"/>
      <c r="C4" s="108"/>
      <c r="D4" s="108"/>
      <c r="E4" s="108"/>
      <c r="F4" s="108"/>
      <c r="G4" s="108"/>
      <c r="H4" s="108"/>
      <c r="I4" s="108"/>
      <c r="J4" s="108"/>
      <c r="K4" s="108"/>
      <c r="L4" s="108"/>
    </row>
    <row r="5" spans="2:12" x14ac:dyDescent="0.25">
      <c r="B5" s="108"/>
      <c r="C5" s="108"/>
      <c r="D5" s="108"/>
      <c r="E5" s="108"/>
      <c r="F5" s="108"/>
      <c r="G5" s="108"/>
      <c r="H5" s="108"/>
      <c r="I5" s="108"/>
      <c r="J5" s="108"/>
      <c r="K5" s="108"/>
      <c r="L5" s="108"/>
    </row>
    <row r="6" spans="2:12" x14ac:dyDescent="0.25">
      <c r="B6" s="108"/>
      <c r="C6" s="108"/>
      <c r="D6" s="108"/>
      <c r="E6" s="108"/>
      <c r="F6" s="108"/>
      <c r="G6" s="108"/>
      <c r="H6" s="108"/>
      <c r="I6" s="108"/>
      <c r="J6" s="108"/>
      <c r="K6" s="108"/>
      <c r="L6" s="108"/>
    </row>
    <row r="7" spans="2:12" x14ac:dyDescent="0.25">
      <c r="B7" s="108"/>
      <c r="C7" s="108"/>
      <c r="D7" s="108"/>
      <c r="E7" s="108"/>
      <c r="F7" s="108"/>
      <c r="G7" s="108"/>
      <c r="H7" s="108"/>
      <c r="I7" s="108"/>
      <c r="J7" s="108"/>
      <c r="K7" s="108"/>
      <c r="L7" s="108"/>
    </row>
    <row r="8" spans="2:12" x14ac:dyDescent="0.25">
      <c r="B8" s="108"/>
      <c r="C8" s="108"/>
      <c r="D8" s="108"/>
      <c r="E8" s="108"/>
      <c r="F8" s="108"/>
      <c r="G8" s="108"/>
      <c r="H8" s="108"/>
      <c r="I8" s="108"/>
      <c r="J8" s="108"/>
      <c r="K8" s="108"/>
      <c r="L8" s="108"/>
    </row>
    <row r="9" spans="2:12" x14ac:dyDescent="0.25">
      <c r="B9" s="108"/>
      <c r="C9" s="108"/>
      <c r="D9" s="108"/>
      <c r="E9" s="108"/>
      <c r="F9" s="108"/>
      <c r="G9" s="108"/>
      <c r="H9" s="108"/>
      <c r="I9" s="108"/>
      <c r="J9" s="108"/>
      <c r="K9" s="108"/>
      <c r="L9" s="108"/>
    </row>
    <row r="10" spans="2:12" x14ac:dyDescent="0.25">
      <c r="B10" s="108"/>
      <c r="C10" s="108"/>
      <c r="D10" s="108"/>
      <c r="E10" s="108"/>
      <c r="F10" s="108"/>
      <c r="G10" s="108"/>
      <c r="H10" s="108"/>
      <c r="I10" s="108"/>
      <c r="J10" s="108"/>
      <c r="K10" s="108"/>
      <c r="L10" s="108"/>
    </row>
    <row r="11" spans="2:12" x14ac:dyDescent="0.25">
      <c r="B11" s="108"/>
      <c r="C11" s="108"/>
      <c r="D11" s="108"/>
      <c r="E11" s="108"/>
      <c r="F11" s="108"/>
      <c r="G11" s="108"/>
      <c r="H11" s="108"/>
      <c r="I11" s="108"/>
      <c r="J11" s="108"/>
      <c r="K11" s="108"/>
      <c r="L11" s="108"/>
    </row>
    <row r="12" spans="2:12" x14ac:dyDescent="0.25">
      <c r="B12" s="108"/>
      <c r="C12" s="108"/>
      <c r="D12" s="108"/>
      <c r="E12" s="108"/>
      <c r="F12" s="108"/>
      <c r="G12" s="108"/>
      <c r="H12" s="108"/>
      <c r="I12" s="108"/>
      <c r="J12" s="108"/>
      <c r="K12" s="108"/>
      <c r="L12" s="108"/>
    </row>
    <row r="13" spans="2:12" x14ac:dyDescent="0.25">
      <c r="B13" s="108"/>
      <c r="C13" s="108"/>
      <c r="D13" s="108"/>
      <c r="E13" s="108"/>
      <c r="F13" s="108"/>
      <c r="G13" s="108"/>
      <c r="H13" s="108"/>
      <c r="I13" s="108"/>
      <c r="J13" s="108"/>
      <c r="K13" s="108"/>
      <c r="L13" s="108"/>
    </row>
    <row r="14" spans="2:12" x14ac:dyDescent="0.25">
      <c r="B14" s="108"/>
      <c r="C14" s="108"/>
      <c r="D14" s="108"/>
      <c r="E14" s="108"/>
      <c r="F14" s="108"/>
      <c r="G14" s="108"/>
      <c r="H14" s="108"/>
      <c r="I14" s="108"/>
      <c r="J14" s="108"/>
      <c r="K14" s="108"/>
      <c r="L14" s="108"/>
    </row>
    <row r="15" spans="2:12" x14ac:dyDescent="0.25">
      <c r="B15" s="108"/>
      <c r="C15" s="108"/>
      <c r="D15" s="108"/>
      <c r="E15" s="108"/>
      <c r="F15" s="108"/>
      <c r="G15" s="108"/>
      <c r="H15" s="108"/>
      <c r="I15" s="108"/>
      <c r="J15" s="108"/>
      <c r="K15" s="108"/>
      <c r="L15" s="108"/>
    </row>
    <row r="16" spans="2:12" x14ac:dyDescent="0.25">
      <c r="B16" s="108"/>
      <c r="C16" s="108"/>
      <c r="D16" s="108"/>
      <c r="E16" s="108"/>
      <c r="F16" s="108"/>
      <c r="G16" s="108"/>
      <c r="H16" s="108"/>
      <c r="I16" s="108"/>
      <c r="J16" s="108"/>
      <c r="K16" s="108"/>
      <c r="L16" s="108"/>
    </row>
    <row r="17" spans="2:12" x14ac:dyDescent="0.25">
      <c r="B17" s="108"/>
      <c r="C17" s="108"/>
      <c r="D17" s="108"/>
      <c r="E17" s="108"/>
      <c r="F17" s="108"/>
      <c r="G17" s="108"/>
      <c r="H17" s="108"/>
      <c r="I17" s="108"/>
      <c r="J17" s="108"/>
      <c r="K17" s="108"/>
      <c r="L17" s="108"/>
    </row>
    <row r="18" spans="2:12" x14ac:dyDescent="0.25">
      <c r="B18" s="108"/>
      <c r="C18" s="108"/>
      <c r="D18" s="108"/>
      <c r="E18" s="108"/>
      <c r="F18" s="108"/>
      <c r="G18" s="108"/>
      <c r="H18" s="108"/>
      <c r="I18" s="108"/>
      <c r="J18" s="108"/>
      <c r="K18" s="108"/>
      <c r="L18" s="108"/>
    </row>
    <row r="19" spans="2:12" x14ac:dyDescent="0.25">
      <c r="B19" s="108"/>
      <c r="C19" s="108"/>
      <c r="D19" s="108"/>
      <c r="E19" s="108"/>
      <c r="F19" s="108"/>
      <c r="G19" s="108"/>
      <c r="H19" s="108"/>
      <c r="I19" s="108"/>
      <c r="J19" s="108"/>
      <c r="K19" s="108"/>
      <c r="L19" s="108"/>
    </row>
    <row r="20" spans="2:12" x14ac:dyDescent="0.25">
      <c r="B20" s="108"/>
      <c r="C20" s="108"/>
      <c r="D20" s="108"/>
      <c r="E20" s="108"/>
      <c r="F20" s="108"/>
      <c r="G20" s="108"/>
      <c r="H20" s="108"/>
      <c r="I20" s="108"/>
      <c r="J20" s="108"/>
      <c r="K20" s="108"/>
      <c r="L20" s="108"/>
    </row>
    <row r="21" spans="2:12" x14ac:dyDescent="0.25">
      <c r="B21" s="108"/>
      <c r="C21" s="108"/>
      <c r="D21" s="108"/>
      <c r="E21" s="108"/>
      <c r="F21" s="108"/>
      <c r="G21" s="108"/>
      <c r="H21" s="108"/>
      <c r="I21" s="108"/>
      <c r="J21" s="108"/>
      <c r="K21" s="108"/>
      <c r="L21" s="108"/>
    </row>
    <row r="22" spans="2:12" x14ac:dyDescent="0.25">
      <c r="B22" s="108"/>
      <c r="C22" s="108"/>
      <c r="D22" s="108"/>
      <c r="E22" s="108"/>
      <c r="F22" s="108"/>
      <c r="G22" s="108"/>
      <c r="H22" s="108"/>
      <c r="I22" s="108"/>
      <c r="J22" s="108"/>
      <c r="K22" s="108"/>
      <c r="L22" s="108"/>
    </row>
    <row r="23" spans="2:12" ht="15" customHeight="1" x14ac:dyDescent="0.25">
      <c r="B23" s="108"/>
      <c r="C23" s="108"/>
      <c r="D23" s="108"/>
      <c r="E23" s="108"/>
      <c r="F23" s="108"/>
      <c r="G23" s="108"/>
      <c r="H23" s="108"/>
      <c r="I23" s="108"/>
      <c r="J23" s="108"/>
      <c r="K23" s="108"/>
      <c r="L23" s="108"/>
    </row>
    <row r="24" spans="2:12" x14ac:dyDescent="0.25">
      <c r="B24" s="108"/>
      <c r="C24" s="108"/>
      <c r="D24" s="108"/>
      <c r="E24" s="108"/>
      <c r="F24" s="108"/>
      <c r="G24" s="108"/>
      <c r="H24" s="108"/>
      <c r="I24" s="108"/>
      <c r="J24" s="108"/>
      <c r="K24" s="108"/>
      <c r="L24" s="108"/>
    </row>
    <row r="25" spans="2:12" x14ac:dyDescent="0.25">
      <c r="B25" s="108"/>
      <c r="C25" s="108"/>
      <c r="D25" s="108"/>
      <c r="E25" s="108"/>
      <c r="F25" s="108"/>
      <c r="G25" s="108"/>
      <c r="H25" s="108"/>
      <c r="I25" s="108"/>
      <c r="J25" s="108"/>
      <c r="K25" s="108"/>
      <c r="L25" s="108"/>
    </row>
    <row r="26" spans="2:12" x14ac:dyDescent="0.25">
      <c r="B26" s="108"/>
      <c r="C26" s="108"/>
      <c r="D26" s="108"/>
      <c r="E26" s="108"/>
      <c r="F26" s="108"/>
      <c r="G26" s="108"/>
      <c r="H26" s="108"/>
      <c r="I26" s="108"/>
      <c r="J26" s="108"/>
      <c r="K26" s="108"/>
      <c r="L26" s="108"/>
    </row>
    <row r="27" spans="2:12" x14ac:dyDescent="0.25">
      <c r="B27" s="108"/>
      <c r="C27" s="108"/>
      <c r="D27" s="108"/>
      <c r="E27" s="108"/>
      <c r="F27" s="108"/>
      <c r="G27" s="108"/>
      <c r="H27" s="108"/>
      <c r="I27" s="108"/>
      <c r="J27" s="108"/>
      <c r="K27" s="108"/>
      <c r="L27" s="108"/>
    </row>
    <row r="28" spans="2:12" x14ac:dyDescent="0.25">
      <c r="B28" s="108"/>
      <c r="C28" s="108"/>
      <c r="D28" s="108"/>
      <c r="E28" s="108"/>
      <c r="F28" s="108"/>
      <c r="G28" s="108"/>
      <c r="H28" s="108"/>
      <c r="I28" s="108"/>
      <c r="J28" s="108"/>
      <c r="K28" s="108"/>
      <c r="L28" s="108"/>
    </row>
    <row r="29" spans="2:12" x14ac:dyDescent="0.25">
      <c r="B29" s="108"/>
      <c r="C29" s="108"/>
      <c r="D29" s="108"/>
      <c r="E29" s="108"/>
      <c r="F29" s="108"/>
      <c r="G29" s="108"/>
      <c r="H29" s="108"/>
      <c r="I29" s="108"/>
      <c r="J29" s="108"/>
      <c r="K29" s="108"/>
      <c r="L29" s="108"/>
    </row>
    <row r="30" spans="2:12" x14ac:dyDescent="0.25">
      <c r="B30" s="108"/>
      <c r="C30" s="108"/>
      <c r="D30" s="108"/>
      <c r="E30" s="108"/>
      <c r="F30" s="108"/>
      <c r="G30" s="108"/>
      <c r="H30" s="108"/>
      <c r="I30" s="108"/>
      <c r="J30" s="108"/>
      <c r="K30" s="108"/>
      <c r="L30" s="108"/>
    </row>
    <row r="31" spans="2:12" x14ac:dyDescent="0.25">
      <c r="B31" s="108"/>
      <c r="C31" s="108"/>
      <c r="D31" s="108"/>
      <c r="E31" s="108"/>
      <c r="F31" s="108"/>
      <c r="G31" s="108"/>
      <c r="H31" s="108"/>
      <c r="I31" s="108"/>
      <c r="J31" s="108"/>
      <c r="K31" s="108"/>
      <c r="L31" s="108"/>
    </row>
    <row r="32" spans="2:12" x14ac:dyDescent="0.25">
      <c r="B32" s="108"/>
      <c r="C32" s="108"/>
      <c r="D32" s="108"/>
      <c r="E32" s="108"/>
      <c r="F32" s="108"/>
      <c r="G32" s="108"/>
      <c r="H32" s="108"/>
      <c r="I32" s="108"/>
      <c r="J32" s="108"/>
      <c r="K32" s="108"/>
      <c r="L32" s="108"/>
    </row>
    <row r="33" spans="2:12" x14ac:dyDescent="0.25">
      <c r="B33" s="108"/>
      <c r="C33" s="108"/>
      <c r="D33" s="108"/>
      <c r="E33" s="108"/>
      <c r="F33" s="108"/>
      <c r="G33" s="108"/>
      <c r="H33" s="108"/>
      <c r="I33" s="108"/>
      <c r="J33" s="108"/>
      <c r="K33" s="108"/>
      <c r="L33" s="108"/>
    </row>
    <row r="34" spans="2:12" x14ac:dyDescent="0.25">
      <c r="B34" s="108"/>
      <c r="C34" s="108"/>
      <c r="D34" s="108"/>
      <c r="E34" s="108"/>
      <c r="F34" s="108"/>
      <c r="G34" s="108"/>
      <c r="H34" s="108"/>
      <c r="I34" s="108"/>
      <c r="J34" s="108"/>
      <c r="K34" s="108"/>
      <c r="L34" s="108"/>
    </row>
    <row r="35" spans="2:12" x14ac:dyDescent="0.25">
      <c r="B35" s="108"/>
      <c r="C35" s="108"/>
      <c r="D35" s="108"/>
      <c r="E35" s="108"/>
      <c r="F35" s="108"/>
      <c r="G35" s="108"/>
      <c r="H35" s="108"/>
      <c r="I35" s="108"/>
      <c r="J35" s="108"/>
      <c r="K35" s="108"/>
      <c r="L35" s="108"/>
    </row>
    <row r="36" spans="2:12" x14ac:dyDescent="0.25">
      <c r="B36" s="108"/>
      <c r="C36" s="108"/>
      <c r="D36" s="108"/>
      <c r="E36" s="108"/>
      <c r="F36" s="108"/>
      <c r="G36" s="108"/>
      <c r="H36" s="108"/>
      <c r="I36" s="108"/>
      <c r="J36" s="108"/>
      <c r="K36" s="108"/>
      <c r="L36" s="108"/>
    </row>
    <row r="37" spans="2:12" x14ac:dyDescent="0.25">
      <c r="B37" s="108"/>
      <c r="C37" s="108"/>
      <c r="D37" s="108"/>
      <c r="E37" s="108"/>
      <c r="F37" s="108"/>
      <c r="G37" s="108"/>
      <c r="H37" s="108"/>
      <c r="I37" s="108"/>
      <c r="J37" s="108"/>
      <c r="K37" s="108"/>
      <c r="L37" s="108"/>
    </row>
    <row r="38" spans="2:12" x14ac:dyDescent="0.25">
      <c r="B38" s="108"/>
      <c r="C38" s="108"/>
      <c r="D38" s="108"/>
      <c r="E38" s="108"/>
      <c r="F38" s="108"/>
      <c r="G38" s="108"/>
      <c r="H38" s="108"/>
      <c r="I38" s="108"/>
      <c r="J38" s="108"/>
      <c r="K38" s="108"/>
      <c r="L38" s="108"/>
    </row>
    <row r="39" spans="2:12" x14ac:dyDescent="0.25">
      <c r="B39" s="108"/>
      <c r="C39" s="108"/>
      <c r="D39" s="108"/>
      <c r="E39" s="108"/>
      <c r="F39" s="108"/>
      <c r="G39" s="108"/>
      <c r="H39" s="108"/>
      <c r="I39" s="108"/>
      <c r="J39" s="108"/>
      <c r="K39" s="108"/>
      <c r="L39" s="108"/>
    </row>
    <row r="40" spans="2:12" x14ac:dyDescent="0.25">
      <c r="B40" s="108"/>
      <c r="C40" s="108"/>
      <c r="D40" s="108"/>
      <c r="E40" s="108"/>
      <c r="F40" s="108"/>
      <c r="G40" s="108"/>
      <c r="H40" s="108"/>
      <c r="I40" s="108"/>
      <c r="J40" s="108"/>
      <c r="K40" s="108"/>
      <c r="L40" s="108"/>
    </row>
    <row r="41" spans="2:12" x14ac:dyDescent="0.25">
      <c r="B41" s="84"/>
      <c r="C41" s="84"/>
      <c r="D41" s="84"/>
      <c r="E41" s="84"/>
      <c r="F41" s="84"/>
      <c r="G41" s="84"/>
      <c r="H41" s="84"/>
      <c r="I41" s="84"/>
      <c r="J41" s="84"/>
      <c r="K41" s="84"/>
      <c r="L41" s="84"/>
    </row>
    <row r="42" spans="2:12" x14ac:dyDescent="0.25">
      <c r="B42" s="84"/>
      <c r="C42" s="84"/>
      <c r="D42" s="84"/>
      <c r="E42" s="84"/>
      <c r="F42" s="84"/>
      <c r="G42" s="84"/>
      <c r="H42" s="84"/>
      <c r="I42" s="84"/>
      <c r="J42" s="84"/>
      <c r="K42" s="84"/>
      <c r="L42" s="84"/>
    </row>
    <row r="43" spans="2:12" x14ac:dyDescent="0.25">
      <c r="B43" s="84"/>
      <c r="C43" s="84"/>
      <c r="D43" s="84"/>
      <c r="E43" s="84"/>
      <c r="F43" s="84"/>
      <c r="G43" s="84"/>
      <c r="H43" s="84"/>
      <c r="I43" s="84"/>
      <c r="J43" s="84"/>
      <c r="K43" s="84"/>
      <c r="L43" s="84"/>
    </row>
    <row r="44" spans="2:12" x14ac:dyDescent="0.25">
      <c r="B44" s="84"/>
      <c r="C44" s="84"/>
      <c r="D44" s="84"/>
      <c r="E44" s="84"/>
      <c r="F44" s="84"/>
      <c r="G44" s="84"/>
      <c r="H44" s="84"/>
      <c r="I44" s="84"/>
      <c r="J44" s="84"/>
      <c r="K44" s="84"/>
      <c r="L44" s="84"/>
    </row>
  </sheetData>
  <sheetProtection sheet="1" objects="1" scenarios="1"/>
  <dataConsolidate link="1"/>
  <mergeCells count="1">
    <mergeCell ref="B2:L4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Instructions"/>
  <dimension ref="B1:L56"/>
  <sheetViews>
    <sheetView showRowColHeaders="0" workbookViewId="0"/>
  </sheetViews>
  <sheetFormatPr defaultRowHeight="15" x14ac:dyDescent="0.25"/>
  <cols>
    <col min="1" max="1" width="3.7109375" style="66" customWidth="1"/>
    <col min="2" max="16384" width="9.140625" style="66"/>
  </cols>
  <sheetData>
    <row r="1" spans="2:12" ht="9.9499999999999993" customHeight="1" x14ac:dyDescent="0.25"/>
    <row r="2" spans="2:12" ht="15" customHeight="1" x14ac:dyDescent="0.25">
      <c r="B2" s="109" t="s">
        <v>267</v>
      </c>
      <c r="C2" s="110"/>
      <c r="D2" s="110"/>
      <c r="E2" s="110"/>
      <c r="F2" s="110"/>
      <c r="G2" s="110"/>
      <c r="H2" s="110"/>
      <c r="I2" s="110"/>
      <c r="J2" s="110"/>
      <c r="K2" s="110"/>
      <c r="L2" s="110"/>
    </row>
    <row r="3" spans="2:12" x14ac:dyDescent="0.25">
      <c r="B3" s="111"/>
      <c r="C3" s="111"/>
      <c r="D3" s="111"/>
      <c r="E3" s="111"/>
      <c r="F3" s="111"/>
      <c r="G3" s="111"/>
      <c r="H3" s="111"/>
      <c r="I3" s="111"/>
      <c r="J3" s="111"/>
      <c r="K3" s="111"/>
      <c r="L3" s="111"/>
    </row>
    <row r="4" spans="2:12" x14ac:dyDescent="0.25">
      <c r="B4" s="112" t="s">
        <v>268</v>
      </c>
      <c r="C4" s="112"/>
      <c r="D4" s="112"/>
      <c r="E4" s="112"/>
      <c r="F4" s="112"/>
      <c r="G4" s="112"/>
      <c r="H4" s="112"/>
      <c r="I4" s="112"/>
      <c r="J4" s="112"/>
      <c r="K4" s="112"/>
      <c r="L4" s="112"/>
    </row>
    <row r="5" spans="2:12" x14ac:dyDescent="0.25">
      <c r="B5" s="112"/>
      <c r="C5" s="112"/>
      <c r="D5" s="112"/>
      <c r="E5" s="112"/>
      <c r="F5" s="112"/>
      <c r="G5" s="112"/>
      <c r="H5" s="112"/>
      <c r="I5" s="112"/>
      <c r="J5" s="112"/>
      <c r="K5" s="112"/>
      <c r="L5" s="112"/>
    </row>
    <row r="6" spans="2:12" x14ac:dyDescent="0.25">
      <c r="B6" s="112"/>
      <c r="C6" s="112"/>
      <c r="D6" s="112"/>
      <c r="E6" s="112"/>
      <c r="F6" s="112"/>
      <c r="G6" s="112"/>
      <c r="H6" s="112"/>
      <c r="I6" s="112"/>
      <c r="J6" s="112"/>
      <c r="K6" s="112"/>
      <c r="L6" s="112"/>
    </row>
    <row r="7" spans="2:12" x14ac:dyDescent="0.25">
      <c r="B7" s="112"/>
      <c r="C7" s="112"/>
      <c r="D7" s="112"/>
      <c r="E7" s="112"/>
      <c r="F7" s="112"/>
      <c r="G7" s="112"/>
      <c r="H7" s="112"/>
      <c r="I7" s="112"/>
      <c r="J7" s="112"/>
      <c r="K7" s="112"/>
      <c r="L7" s="112"/>
    </row>
    <row r="8" spans="2:12" x14ac:dyDescent="0.25">
      <c r="B8" s="111" t="s">
        <v>269</v>
      </c>
      <c r="C8" s="111"/>
      <c r="D8" s="111"/>
      <c r="E8" s="111"/>
      <c r="F8" s="111"/>
      <c r="G8" s="111"/>
      <c r="H8" s="111"/>
      <c r="I8" s="111"/>
      <c r="J8" s="111"/>
      <c r="K8" s="111"/>
      <c r="L8" s="111"/>
    </row>
    <row r="9" spans="2:12" x14ac:dyDescent="0.25">
      <c r="B9" s="111"/>
      <c r="C9" s="111"/>
      <c r="D9" s="111"/>
      <c r="E9" s="111"/>
      <c r="F9" s="111"/>
      <c r="G9" s="111"/>
      <c r="H9" s="111"/>
      <c r="I9" s="111"/>
      <c r="J9" s="111"/>
      <c r="K9" s="111"/>
      <c r="L9" s="111"/>
    </row>
    <row r="10" spans="2:12" x14ac:dyDescent="0.25">
      <c r="B10" s="111" t="s">
        <v>270</v>
      </c>
      <c r="C10" s="111"/>
      <c r="D10" s="111"/>
      <c r="E10" s="111"/>
      <c r="F10" s="111"/>
      <c r="G10" s="111"/>
      <c r="H10" s="111"/>
      <c r="I10" s="111"/>
      <c r="J10" s="111"/>
      <c r="K10" s="111"/>
      <c r="L10" s="111"/>
    </row>
    <row r="11" spans="2:12" x14ac:dyDescent="0.25">
      <c r="B11" s="96"/>
      <c r="C11" s="96"/>
      <c r="D11" s="96"/>
      <c r="E11" s="96"/>
      <c r="F11" s="96"/>
      <c r="G11" s="96"/>
      <c r="H11" s="96"/>
      <c r="I11" s="96"/>
      <c r="J11" s="96"/>
      <c r="K11" s="96"/>
      <c r="L11" s="96"/>
    </row>
    <row r="12" spans="2:12" x14ac:dyDescent="0.25">
      <c r="B12" s="113" t="s">
        <v>271</v>
      </c>
      <c r="C12" s="113"/>
      <c r="D12" s="113"/>
      <c r="E12" s="113"/>
      <c r="F12" s="113"/>
      <c r="G12" s="113"/>
      <c r="H12" s="113"/>
      <c r="I12" s="113"/>
      <c r="J12" s="113"/>
      <c r="K12" s="113"/>
      <c r="L12" s="113"/>
    </row>
    <row r="13" spans="2:12" x14ac:dyDescent="0.25">
      <c r="B13" s="96"/>
      <c r="C13" s="96"/>
      <c r="D13" s="96"/>
      <c r="E13" s="96"/>
      <c r="F13" s="96"/>
      <c r="G13" s="96"/>
      <c r="H13" s="96"/>
      <c r="I13" s="96"/>
      <c r="J13" s="96"/>
      <c r="K13" s="96"/>
      <c r="L13" s="96"/>
    </row>
    <row r="14" spans="2:12" x14ac:dyDescent="0.25">
      <c r="B14" s="112" t="s">
        <v>272</v>
      </c>
      <c r="C14" s="112"/>
      <c r="D14" s="112"/>
      <c r="E14" s="112"/>
      <c r="F14" s="112"/>
      <c r="G14" s="112"/>
      <c r="H14" s="112"/>
      <c r="I14" s="112"/>
      <c r="J14" s="112"/>
      <c r="K14" s="112"/>
      <c r="L14" s="112"/>
    </row>
    <row r="15" spans="2:12" x14ac:dyDescent="0.25">
      <c r="B15" s="112"/>
      <c r="C15" s="112"/>
      <c r="D15" s="112"/>
      <c r="E15" s="112"/>
      <c r="F15" s="112"/>
      <c r="G15" s="112"/>
      <c r="H15" s="112"/>
      <c r="I15" s="112"/>
      <c r="J15" s="112"/>
      <c r="K15" s="112"/>
      <c r="L15" s="112"/>
    </row>
    <row r="16" spans="2:12" x14ac:dyDescent="0.25">
      <c r="B16" s="112"/>
      <c r="C16" s="112"/>
      <c r="D16" s="112"/>
      <c r="E16" s="112"/>
      <c r="F16" s="112"/>
      <c r="G16" s="112"/>
      <c r="H16" s="112"/>
      <c r="I16" s="112"/>
      <c r="J16" s="112"/>
      <c r="K16" s="112"/>
      <c r="L16" s="112"/>
    </row>
    <row r="17" spans="2:12" x14ac:dyDescent="0.25">
      <c r="B17" s="112"/>
      <c r="C17" s="112"/>
      <c r="D17" s="112"/>
      <c r="E17" s="112"/>
      <c r="F17" s="112"/>
      <c r="G17" s="112"/>
      <c r="H17" s="112"/>
      <c r="I17" s="112"/>
      <c r="J17" s="112"/>
      <c r="K17" s="112"/>
      <c r="L17" s="112"/>
    </row>
    <row r="18" spans="2:12" x14ac:dyDescent="0.25">
      <c r="B18" s="112" t="s">
        <v>273</v>
      </c>
      <c r="C18" s="112"/>
      <c r="D18" s="112"/>
      <c r="E18" s="112"/>
      <c r="F18" s="112"/>
      <c r="G18" s="112"/>
      <c r="H18" s="112"/>
      <c r="I18" s="112"/>
      <c r="J18" s="112"/>
      <c r="K18" s="112"/>
      <c r="L18" s="112"/>
    </row>
    <row r="19" spans="2:12" x14ac:dyDescent="0.25">
      <c r="B19" s="112"/>
      <c r="C19" s="112"/>
      <c r="D19" s="112"/>
      <c r="E19" s="112"/>
      <c r="F19" s="112"/>
      <c r="G19" s="112"/>
      <c r="H19" s="112"/>
      <c r="I19" s="112"/>
      <c r="J19" s="112"/>
      <c r="K19" s="112"/>
      <c r="L19" s="112"/>
    </row>
    <row r="20" spans="2:12" x14ac:dyDescent="0.25">
      <c r="B20" s="112"/>
      <c r="C20" s="112"/>
      <c r="D20" s="112"/>
      <c r="E20" s="112"/>
      <c r="F20" s="112"/>
      <c r="G20" s="112"/>
      <c r="H20" s="112"/>
      <c r="I20" s="112"/>
      <c r="J20" s="112"/>
      <c r="K20" s="112"/>
      <c r="L20" s="112"/>
    </row>
    <row r="21" spans="2:12" x14ac:dyDescent="0.25">
      <c r="B21" s="112"/>
      <c r="C21" s="112"/>
      <c r="D21" s="112"/>
      <c r="E21" s="112"/>
      <c r="F21" s="112"/>
      <c r="G21" s="112"/>
      <c r="H21" s="112"/>
      <c r="I21" s="112"/>
      <c r="J21" s="112"/>
      <c r="K21" s="112"/>
      <c r="L21" s="112"/>
    </row>
    <row r="22" spans="2:12" x14ac:dyDescent="0.25">
      <c r="B22" s="112"/>
      <c r="C22" s="112"/>
      <c r="D22" s="112"/>
      <c r="E22" s="112"/>
      <c r="F22" s="112"/>
      <c r="G22" s="112"/>
      <c r="H22" s="112"/>
      <c r="I22" s="112"/>
      <c r="J22" s="112"/>
      <c r="K22" s="112"/>
      <c r="L22" s="112"/>
    </row>
    <row r="23" spans="2:12" ht="15" customHeight="1" x14ac:dyDescent="0.25">
      <c r="B23" s="112"/>
      <c r="C23" s="112"/>
      <c r="D23" s="112"/>
      <c r="E23" s="112"/>
      <c r="F23" s="112"/>
      <c r="G23" s="112"/>
      <c r="H23" s="112"/>
      <c r="I23" s="112"/>
      <c r="J23" s="112"/>
      <c r="K23" s="112"/>
      <c r="L23" s="112"/>
    </row>
    <row r="24" spans="2:12" x14ac:dyDescent="0.25">
      <c r="B24" s="112"/>
      <c r="C24" s="112"/>
      <c r="D24" s="112"/>
      <c r="E24" s="112"/>
      <c r="F24" s="112"/>
      <c r="G24" s="112"/>
      <c r="H24" s="112"/>
      <c r="I24" s="112"/>
      <c r="J24" s="112"/>
      <c r="K24" s="112"/>
      <c r="L24" s="112"/>
    </row>
    <row r="25" spans="2:12" x14ac:dyDescent="0.25">
      <c r="B25" s="96"/>
      <c r="C25" s="96"/>
      <c r="D25" s="96"/>
      <c r="E25" s="96"/>
      <c r="F25" s="96"/>
      <c r="G25" s="96"/>
      <c r="H25" s="96"/>
      <c r="I25" s="96"/>
      <c r="J25" s="96"/>
      <c r="K25" s="96"/>
      <c r="L25" s="96"/>
    </row>
    <row r="26" spans="2:12" ht="15" customHeight="1" x14ac:dyDescent="0.25">
      <c r="B26" s="112" t="s">
        <v>274</v>
      </c>
      <c r="C26" s="112"/>
      <c r="D26" s="112"/>
      <c r="E26" s="112"/>
      <c r="F26" s="112"/>
      <c r="G26" s="112"/>
      <c r="H26" s="112"/>
      <c r="I26" s="112"/>
      <c r="J26" s="112"/>
      <c r="K26" s="112"/>
      <c r="L26" s="112"/>
    </row>
    <row r="27" spans="2:12" x14ac:dyDescent="0.25">
      <c r="B27" s="112"/>
      <c r="C27" s="112"/>
      <c r="D27" s="112"/>
      <c r="E27" s="112"/>
      <c r="F27" s="112"/>
      <c r="G27" s="112"/>
      <c r="H27" s="112"/>
      <c r="I27" s="112"/>
      <c r="J27" s="112"/>
      <c r="K27" s="112"/>
      <c r="L27" s="112"/>
    </row>
    <row r="28" spans="2:12" x14ac:dyDescent="0.25">
      <c r="B28" s="112"/>
      <c r="C28" s="112"/>
      <c r="D28" s="112"/>
      <c r="E28" s="112"/>
      <c r="F28" s="112"/>
      <c r="G28" s="112"/>
      <c r="H28" s="112"/>
      <c r="I28" s="112"/>
      <c r="J28" s="112"/>
      <c r="K28" s="112"/>
      <c r="L28" s="112"/>
    </row>
    <row r="29" spans="2:12" x14ac:dyDescent="0.25">
      <c r="B29" s="112"/>
      <c r="C29" s="112"/>
      <c r="D29" s="112"/>
      <c r="E29" s="112"/>
      <c r="F29" s="112"/>
      <c r="G29" s="112"/>
      <c r="H29" s="112"/>
      <c r="I29" s="112"/>
      <c r="J29" s="112"/>
      <c r="K29" s="112"/>
      <c r="L29" s="112"/>
    </row>
    <row r="30" spans="2:12" x14ac:dyDescent="0.25">
      <c r="B30" s="112"/>
      <c r="C30" s="112"/>
      <c r="D30" s="112"/>
      <c r="E30" s="112"/>
      <c r="F30" s="112"/>
      <c r="G30" s="112"/>
      <c r="H30" s="112"/>
      <c r="I30" s="112"/>
      <c r="J30" s="112"/>
      <c r="K30" s="112"/>
      <c r="L30" s="112"/>
    </row>
    <row r="31" spans="2:12" x14ac:dyDescent="0.25">
      <c r="B31" s="96"/>
      <c r="C31" s="96"/>
      <c r="D31" s="96"/>
      <c r="E31" s="96"/>
      <c r="F31" s="96"/>
      <c r="G31" s="96"/>
      <c r="H31" s="96"/>
      <c r="I31" s="96"/>
      <c r="J31" s="96"/>
      <c r="K31" s="96"/>
      <c r="L31" s="96"/>
    </row>
    <row r="32" spans="2:12" x14ac:dyDescent="0.25">
      <c r="B32" s="112" t="s">
        <v>275</v>
      </c>
      <c r="C32" s="112"/>
      <c r="D32" s="112"/>
      <c r="E32" s="112"/>
      <c r="F32" s="112"/>
      <c r="G32" s="112"/>
      <c r="H32" s="112"/>
      <c r="I32" s="112"/>
      <c r="J32" s="112"/>
      <c r="K32" s="112"/>
      <c r="L32" s="112"/>
    </row>
    <row r="33" spans="2:12" x14ac:dyDescent="0.25">
      <c r="B33" s="112"/>
      <c r="C33" s="112"/>
      <c r="D33" s="112"/>
      <c r="E33" s="112"/>
      <c r="F33" s="112"/>
      <c r="G33" s="112"/>
      <c r="H33" s="112"/>
      <c r="I33" s="112"/>
      <c r="J33" s="112"/>
      <c r="K33" s="112"/>
      <c r="L33" s="112"/>
    </row>
    <row r="34" spans="2:12" x14ac:dyDescent="0.25">
      <c r="B34" s="112"/>
      <c r="C34" s="112"/>
      <c r="D34" s="112"/>
      <c r="E34" s="112"/>
      <c r="F34" s="112"/>
      <c r="G34" s="112"/>
      <c r="H34" s="112"/>
      <c r="I34" s="112"/>
      <c r="J34" s="112"/>
      <c r="K34" s="112"/>
      <c r="L34" s="112"/>
    </row>
    <row r="35" spans="2:12" x14ac:dyDescent="0.25">
      <c r="B35" s="96"/>
      <c r="C35" s="96"/>
      <c r="D35" s="96"/>
      <c r="E35" s="96"/>
      <c r="F35" s="96"/>
      <c r="G35" s="96"/>
      <c r="H35" s="96"/>
      <c r="I35" s="96"/>
      <c r="J35" s="96"/>
      <c r="K35" s="96"/>
      <c r="L35" s="96"/>
    </row>
    <row r="36" spans="2:12" x14ac:dyDescent="0.25">
      <c r="B36" s="111" t="s">
        <v>276</v>
      </c>
      <c r="C36" s="111"/>
      <c r="D36" s="111"/>
      <c r="E36" s="111"/>
      <c r="F36" s="111"/>
      <c r="G36" s="111"/>
      <c r="H36" s="111"/>
      <c r="I36" s="111"/>
      <c r="J36" s="111"/>
      <c r="K36" s="111"/>
      <c r="L36" s="111"/>
    </row>
    <row r="37" spans="2:12" x14ac:dyDescent="0.25">
      <c r="B37" s="111"/>
      <c r="C37" s="111"/>
      <c r="D37" s="111"/>
      <c r="E37" s="111"/>
      <c r="F37" s="111"/>
      <c r="G37" s="111"/>
      <c r="H37" s="111"/>
      <c r="I37" s="111"/>
      <c r="J37" s="111"/>
      <c r="K37" s="111"/>
      <c r="L37" s="111"/>
    </row>
    <row r="38" spans="2:12" x14ac:dyDescent="0.25">
      <c r="B38" s="96"/>
      <c r="C38" s="96"/>
      <c r="D38" s="96"/>
      <c r="E38" s="96"/>
      <c r="F38" s="96"/>
      <c r="G38" s="96"/>
      <c r="H38" s="96"/>
      <c r="I38" s="96"/>
      <c r="J38" s="96"/>
      <c r="K38" s="96"/>
      <c r="L38" s="96"/>
    </row>
    <row r="39" spans="2:12" x14ac:dyDescent="0.25">
      <c r="B39" s="112" t="s">
        <v>277</v>
      </c>
      <c r="C39" s="112"/>
      <c r="D39" s="112"/>
      <c r="E39" s="112"/>
      <c r="F39" s="112"/>
      <c r="G39" s="112"/>
      <c r="H39" s="112"/>
      <c r="I39" s="112"/>
      <c r="J39" s="112"/>
      <c r="K39" s="112"/>
      <c r="L39" s="112"/>
    </row>
    <row r="40" spans="2:12" x14ac:dyDescent="0.25">
      <c r="B40" s="112"/>
      <c r="C40" s="112"/>
      <c r="D40" s="112"/>
      <c r="E40" s="112"/>
      <c r="F40" s="112"/>
      <c r="G40" s="112"/>
      <c r="H40" s="112"/>
      <c r="I40" s="112"/>
      <c r="J40" s="112"/>
      <c r="K40" s="112"/>
      <c r="L40" s="112"/>
    </row>
    <row r="41" spans="2:12" x14ac:dyDescent="0.25">
      <c r="B41" s="112"/>
      <c r="C41" s="112"/>
      <c r="D41" s="112"/>
      <c r="E41" s="112"/>
      <c r="F41" s="112"/>
      <c r="G41" s="112"/>
      <c r="H41" s="112"/>
      <c r="I41" s="112"/>
      <c r="J41" s="112"/>
      <c r="K41" s="112"/>
      <c r="L41" s="112"/>
    </row>
    <row r="42" spans="2:12" x14ac:dyDescent="0.25">
      <c r="B42" s="112"/>
      <c r="C42" s="112"/>
      <c r="D42" s="112"/>
      <c r="E42" s="112"/>
      <c r="F42" s="112"/>
      <c r="G42" s="112"/>
      <c r="H42" s="112"/>
      <c r="I42" s="112"/>
      <c r="J42" s="112"/>
      <c r="K42" s="112"/>
      <c r="L42" s="112"/>
    </row>
    <row r="43" spans="2:12" x14ac:dyDescent="0.25">
      <c r="B43" s="112"/>
      <c r="C43" s="112"/>
      <c r="D43" s="112"/>
      <c r="E43" s="112"/>
      <c r="F43" s="112"/>
      <c r="G43" s="112"/>
      <c r="H43" s="112"/>
      <c r="I43" s="112"/>
      <c r="J43" s="112"/>
      <c r="K43" s="112"/>
      <c r="L43" s="112"/>
    </row>
    <row r="44" spans="2:12" x14ac:dyDescent="0.25">
      <c r="B44" s="96"/>
      <c r="C44" s="96"/>
      <c r="D44" s="96"/>
      <c r="E44" s="96"/>
      <c r="F44" s="96"/>
      <c r="G44" s="96"/>
      <c r="H44" s="96"/>
      <c r="I44" s="96"/>
      <c r="J44" s="96"/>
      <c r="K44" s="96"/>
      <c r="L44" s="96"/>
    </row>
    <row r="45" spans="2:12" x14ac:dyDescent="0.25">
      <c r="B45" s="111" t="s">
        <v>278</v>
      </c>
      <c r="C45" s="111"/>
      <c r="D45" s="111"/>
      <c r="E45" s="111"/>
      <c r="F45" s="111"/>
      <c r="G45" s="111"/>
      <c r="H45" s="111"/>
      <c r="I45" s="111"/>
      <c r="J45" s="111"/>
      <c r="K45" s="111"/>
      <c r="L45" s="111"/>
    </row>
    <row r="46" spans="2:12" x14ac:dyDescent="0.25">
      <c r="B46" s="111"/>
      <c r="C46" s="111"/>
      <c r="D46" s="111"/>
      <c r="E46" s="111"/>
      <c r="F46" s="111"/>
      <c r="G46" s="111"/>
      <c r="H46" s="111"/>
      <c r="I46" s="111"/>
      <c r="J46" s="111"/>
      <c r="K46" s="111"/>
      <c r="L46" s="111"/>
    </row>
    <row r="47" spans="2:12" x14ac:dyDescent="0.25">
      <c r="B47" s="96"/>
      <c r="C47" s="96"/>
      <c r="D47" s="96"/>
      <c r="E47" s="96"/>
      <c r="F47" s="96"/>
      <c r="G47" s="96"/>
      <c r="H47" s="96"/>
      <c r="I47" s="96"/>
      <c r="J47" s="96"/>
      <c r="K47" s="96"/>
      <c r="L47" s="96"/>
    </row>
    <row r="48" spans="2:12" x14ac:dyDescent="0.25">
      <c r="B48" s="111" t="s">
        <v>279</v>
      </c>
      <c r="C48" s="111"/>
      <c r="D48" s="111"/>
      <c r="E48" s="111"/>
      <c r="F48" s="111"/>
      <c r="G48" s="111"/>
      <c r="H48" s="111"/>
      <c r="I48" s="111"/>
      <c r="J48" s="111"/>
      <c r="K48" s="111"/>
      <c r="L48" s="111"/>
    </row>
    <row r="49" spans="2:12" x14ac:dyDescent="0.25">
      <c r="B49" s="111"/>
      <c r="C49" s="111"/>
      <c r="D49" s="111"/>
      <c r="E49" s="111"/>
      <c r="F49" s="111"/>
      <c r="G49" s="111"/>
      <c r="H49" s="111"/>
      <c r="I49" s="111"/>
      <c r="J49" s="111"/>
      <c r="K49" s="111"/>
      <c r="L49" s="111"/>
    </row>
    <row r="50" spans="2:12" x14ac:dyDescent="0.25">
      <c r="B50" s="96"/>
      <c r="C50" s="96"/>
      <c r="D50" s="96"/>
      <c r="E50" s="96"/>
      <c r="F50" s="96"/>
      <c r="G50" s="96"/>
      <c r="H50" s="96"/>
      <c r="I50" s="96"/>
      <c r="J50" s="96"/>
      <c r="K50" s="96"/>
      <c r="L50" s="96"/>
    </row>
    <row r="51" spans="2:12" x14ac:dyDescent="0.25">
      <c r="B51" s="112" t="s">
        <v>280</v>
      </c>
      <c r="C51" s="112"/>
      <c r="D51" s="112"/>
      <c r="E51" s="112"/>
      <c r="F51" s="112"/>
      <c r="G51" s="112"/>
      <c r="H51" s="112"/>
      <c r="I51" s="112"/>
      <c r="J51" s="112"/>
      <c r="K51" s="112"/>
      <c r="L51" s="112"/>
    </row>
    <row r="52" spans="2:12" ht="15" customHeight="1" x14ac:dyDescent="0.25">
      <c r="B52" s="112"/>
      <c r="C52" s="112"/>
      <c r="D52" s="112"/>
      <c r="E52" s="112"/>
      <c r="F52" s="112"/>
      <c r="G52" s="112"/>
      <c r="H52" s="112"/>
      <c r="I52" s="112"/>
      <c r="J52" s="112"/>
      <c r="K52" s="112"/>
      <c r="L52" s="112"/>
    </row>
    <row r="53" spans="2:12" x14ac:dyDescent="0.25">
      <c r="B53" s="112"/>
      <c r="C53" s="112"/>
      <c r="D53" s="112"/>
      <c r="E53" s="112"/>
      <c r="F53" s="112"/>
      <c r="G53" s="112"/>
      <c r="H53" s="112"/>
      <c r="I53" s="112"/>
      <c r="J53" s="112"/>
      <c r="K53" s="112"/>
      <c r="L53" s="112"/>
    </row>
    <row r="54" spans="2:12" x14ac:dyDescent="0.25">
      <c r="B54" s="112"/>
      <c r="C54" s="112"/>
      <c r="D54" s="112"/>
      <c r="E54" s="112"/>
      <c r="F54" s="112"/>
      <c r="G54" s="112"/>
      <c r="H54" s="112"/>
      <c r="I54" s="112"/>
      <c r="J54" s="112"/>
      <c r="K54" s="112"/>
      <c r="L54" s="112"/>
    </row>
    <row r="55" spans="2:12" x14ac:dyDescent="0.25">
      <c r="B55" s="84"/>
      <c r="C55" s="84"/>
      <c r="D55" s="84"/>
      <c r="E55" s="84"/>
      <c r="F55" s="84"/>
      <c r="G55" s="84"/>
      <c r="H55" s="84"/>
      <c r="I55" s="84"/>
      <c r="J55" s="84"/>
      <c r="K55" s="84"/>
      <c r="L55" s="84"/>
    </row>
    <row r="56" spans="2:12" x14ac:dyDescent="0.25">
      <c r="B56" s="114"/>
      <c r="C56" s="114"/>
      <c r="D56" s="114"/>
      <c r="E56" s="114"/>
      <c r="F56" s="114"/>
      <c r="G56" s="114"/>
      <c r="H56" s="114"/>
      <c r="I56" s="114"/>
      <c r="J56" s="114"/>
      <c r="K56" s="114"/>
      <c r="L56" s="114"/>
    </row>
  </sheetData>
  <sheetProtection sheet="1" objects="1" scenarios="1"/>
  <dataConsolidate link="1"/>
  <mergeCells count="17">
    <mergeCell ref="B56:L56"/>
    <mergeCell ref="B26:L30"/>
    <mergeCell ref="B45:L46"/>
    <mergeCell ref="B48:L49"/>
    <mergeCell ref="B51:L54"/>
    <mergeCell ref="B36:L37"/>
    <mergeCell ref="B39:L43"/>
    <mergeCell ref="B2:L2"/>
    <mergeCell ref="B3:L3"/>
    <mergeCell ref="B4:L7"/>
    <mergeCell ref="B32:L34"/>
    <mergeCell ref="B8:L8"/>
    <mergeCell ref="B9:L9"/>
    <mergeCell ref="B10:L10"/>
    <mergeCell ref="B12:L12"/>
    <mergeCell ref="B14:L17"/>
    <mergeCell ref="B18:L24"/>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AgencyInformation"/>
  <dimension ref="A1:D18"/>
  <sheetViews>
    <sheetView showRowColHeaders="0" topLeftCell="B2" workbookViewId="0">
      <selection activeCell="D7" sqref="D7"/>
    </sheetView>
  </sheetViews>
  <sheetFormatPr defaultRowHeight="15" x14ac:dyDescent="0.25"/>
  <cols>
    <col min="1" max="1" width="9.140625" style="6" hidden="1" customWidth="1"/>
    <col min="2" max="2" width="3.7109375" style="6" customWidth="1"/>
    <col min="3" max="3" width="25.7109375" style="6" customWidth="1"/>
    <col min="4" max="4" width="65.28515625" style="6" customWidth="1"/>
    <col min="5" max="16384" width="9.140625" style="6"/>
  </cols>
  <sheetData>
    <row r="1" spans="1:4" hidden="1" x14ac:dyDescent="0.25">
      <c r="A1" s="14" t="s">
        <v>31</v>
      </c>
    </row>
    <row r="2" spans="1:4" s="15" customFormat="1" ht="9.9499999999999993" customHeight="1" x14ac:dyDescent="0.25"/>
    <row r="3" spans="1:4" s="15" customFormat="1" ht="156.75" customHeight="1" x14ac:dyDescent="0.25">
      <c r="C3" s="115" t="s">
        <v>266</v>
      </c>
      <c r="D3" s="115"/>
    </row>
    <row r="5" spans="1:4" ht="15.75" x14ac:dyDescent="0.25">
      <c r="C5" s="79" t="s">
        <v>12</v>
      </c>
      <c r="D5" s="80"/>
    </row>
    <row r="7" spans="1:4" x14ac:dyDescent="0.25">
      <c r="A7" s="6" t="b">
        <f>ISBLANK(AgencyName)</f>
        <v>0</v>
      </c>
      <c r="C7" s="1" t="s">
        <v>0</v>
      </c>
      <c r="D7" s="105" t="s">
        <v>294</v>
      </c>
    </row>
    <row r="8" spans="1:4" s="12" customFormat="1" x14ac:dyDescent="0.25">
      <c r="A8" s="15" t="b">
        <f>ISBLANK(AgencyAbbreviation)</f>
        <v>0</v>
      </c>
      <c r="C8" s="1" t="s">
        <v>25</v>
      </c>
      <c r="D8" s="105" t="s">
        <v>295</v>
      </c>
    </row>
    <row r="9" spans="1:4" x14ac:dyDescent="0.25">
      <c r="A9" s="15" t="b">
        <f>ISBLANK(AnnualReportYear)</f>
        <v>0</v>
      </c>
      <c r="C9" s="1" t="s">
        <v>1</v>
      </c>
      <c r="D9" s="64">
        <v>2017</v>
      </c>
    </row>
    <row r="10" spans="1:4" x14ac:dyDescent="0.25">
      <c r="A10" s="15" t="b">
        <f>ISBLANK(DatePrepared)</f>
        <v>0</v>
      </c>
      <c r="C10" s="1" t="s">
        <v>2</v>
      </c>
      <c r="D10" s="2">
        <v>43040</v>
      </c>
    </row>
    <row r="12" spans="1:4" s="15" customFormat="1" x14ac:dyDescent="0.25"/>
    <row r="13" spans="1:4" ht="15.75" x14ac:dyDescent="0.25">
      <c r="C13" s="79" t="s">
        <v>13</v>
      </c>
      <c r="D13" s="80"/>
    </row>
    <row r="15" spans="1:4" x14ac:dyDescent="0.25">
      <c r="C15" s="1" t="s">
        <v>26</v>
      </c>
      <c r="D15" s="1" t="s">
        <v>27</v>
      </c>
    </row>
    <row r="16" spans="1:4" x14ac:dyDescent="0.25">
      <c r="A16" s="14" t="b">
        <f>OR(NOT(BothOrNeither(C16,D16)),COUNTIF($C$16:$C$18,C16)&gt;1)</f>
        <v>0</v>
      </c>
      <c r="C16" s="105"/>
      <c r="D16" s="105"/>
    </row>
    <row r="17" spans="1:4" x14ac:dyDescent="0.25">
      <c r="A17" s="66" t="b">
        <f>OR(NOT(BothOrNeither(C17,D17)),COUNTIF($C$16:$C$18,C17)&gt;1)</f>
        <v>0</v>
      </c>
      <c r="C17" s="105"/>
      <c r="D17" s="105"/>
    </row>
    <row r="18" spans="1:4" x14ac:dyDescent="0.25">
      <c r="A18" s="6" t="b">
        <f>COUNTIF(A6:ptrCellAbove,TRUE)&lt;&gt;0</f>
        <v>0</v>
      </c>
    </row>
  </sheetData>
  <sheetProtection sheet="1" objects="1" scenarios="1" selectLockedCells="1"/>
  <dataConsolidate link="1"/>
  <mergeCells count="1">
    <mergeCell ref="C3:D3"/>
  </mergeCells>
  <conditionalFormatting sqref="C16:D17">
    <cfRule type="expression" dxfId="39" priority="2" stopIfTrue="1">
      <formula>$A16</formula>
    </cfRule>
  </conditionalFormatting>
  <conditionalFormatting sqref="D7:D10">
    <cfRule type="expression" dxfId="38" priority="1" stopIfTrue="1">
      <formula>$A7</formula>
    </cfRule>
  </conditionalFormatting>
  <dataValidations count="7">
    <dataValidation type="custom" allowBlank="1" showInputMessage="1" showErrorMessage="1" error="Each component abbreviation must be unique." sqref="C18">
      <formula1>COUNTIF($C$16:$C$18,C18)=1</formula1>
    </dataValidation>
    <dataValidation type="custom" allowBlank="1" showInputMessage="1" showErrorMessage="1" error="Each component abbreviation must be unique." prompt="An acronym or abbreviation to be used when referring this component throughout this report. Must be unique." sqref="C16:C17">
      <formula1>COUNTIF($C$16:$C$18,C16)=1</formula1>
    </dataValidation>
    <dataValidation allowBlank="1" showInputMessage="1" showErrorMessage="1" prompt="The full name of the component (office, division, bureau, center, or directorate)." sqref="D16:D17"/>
    <dataValidation allowBlank="1" showInputMessage="1" showErrorMessage="1" prompt="The full name of the reporting agency" sqref="D7"/>
    <dataValidation allowBlank="1" showInputMessage="1" showErrorMessage="1" prompt="An acronym or abbreviation to be used when referring to the agency throughout this report." sqref="D8"/>
    <dataValidation type="whole" showInputMessage="1" showErrorMessage="1" error="Must be a year between 1950 and 2100." prompt="The fiscal year of this annual FOIA report" sqref="D9">
      <formula1>1950</formula1>
      <formula2>2100</formula2>
    </dataValidation>
    <dataValidation type="date" showInputMessage="1" showErrorMessage="1" error="Must be a date between 1950 and 2100." prompt="The date this report was prepared" sqref="D10">
      <formula1>18264</formula1>
      <formula2>73415</formula2>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Exemption3Statutes"/>
  <dimension ref="A1:M16"/>
  <sheetViews>
    <sheetView showRowColHeaders="0" topLeftCell="B2" workbookViewId="0">
      <selection activeCell="C8" sqref="C8:C9"/>
    </sheetView>
  </sheetViews>
  <sheetFormatPr defaultRowHeight="15" x14ac:dyDescent="0.25"/>
  <cols>
    <col min="1" max="1" width="18" style="6" hidden="1" customWidth="1"/>
    <col min="2" max="2" width="3.7109375" style="6" customWidth="1"/>
    <col min="3" max="3" width="25.7109375" style="6" customWidth="1"/>
    <col min="4" max="5" width="30.7109375" style="6" customWidth="1"/>
    <col min="6" max="8" width="12.7109375" style="6" customWidth="1"/>
    <col min="9" max="16384" width="9.140625" style="6"/>
  </cols>
  <sheetData>
    <row r="1" spans="1:13" hidden="1" x14ac:dyDescent="0.25">
      <c r="A1" s="15" t="s">
        <v>32</v>
      </c>
    </row>
    <row r="2" spans="1:13" ht="9.9499999999999993" customHeight="1" x14ac:dyDescent="0.25"/>
    <row r="3" spans="1:13" s="15" customFormat="1" ht="132" customHeight="1" x14ac:dyDescent="0.25">
      <c r="C3" s="116" t="s">
        <v>227</v>
      </c>
      <c r="D3" s="111"/>
      <c r="E3" s="111"/>
      <c r="F3" s="111"/>
      <c r="G3" s="111"/>
      <c r="H3" s="111"/>
    </row>
    <row r="4" spans="1:13" s="15" customFormat="1" x14ac:dyDescent="0.25"/>
    <row r="5" spans="1:13" ht="18.75" x14ac:dyDescent="0.3">
      <c r="C5" s="79" t="s">
        <v>193</v>
      </c>
      <c r="D5" s="80"/>
      <c r="E5" s="10"/>
      <c r="F5" s="10"/>
    </row>
    <row r="7" spans="1:13" ht="60" x14ac:dyDescent="0.25">
      <c r="C7" s="1" t="s">
        <v>16</v>
      </c>
      <c r="D7" s="1" t="s">
        <v>17</v>
      </c>
      <c r="E7" s="1" t="s">
        <v>18</v>
      </c>
      <c r="F7" s="99" t="s">
        <v>283</v>
      </c>
      <c r="G7" s="99" t="s">
        <v>284</v>
      </c>
      <c r="H7" s="99" t="s">
        <v>285</v>
      </c>
    </row>
    <row r="8" spans="1:13" s="15" customFormat="1" x14ac:dyDescent="0.25">
      <c r="A8" s="15" t="b">
        <f>OR(IF(COUNTA(F8:G8)=0,FALSE,COUNTA(F8:G8)&lt;&gt;2),AND(NOT(ISBLANK(F8)),ISNA(MATCH(F8,ComponentAbbreviation,0))))</f>
        <v>0</v>
      </c>
      <c r="C8" s="117"/>
      <c r="D8" s="22"/>
      <c r="E8" s="22"/>
      <c r="F8" s="23"/>
      <c r="G8" s="24"/>
      <c r="H8" s="119">
        <f>SUM($G$8:$G$9)</f>
        <v>0</v>
      </c>
    </row>
    <row r="9" spans="1:13" s="15" customFormat="1" x14ac:dyDescent="0.25">
      <c r="A9" s="15" t="b">
        <f>OR(IF(COUNTA(F9:G9)=0,FALSE,COUNTA(F9:G9)&lt;&gt;2),AND(NOT(ISBLANK(F9)),ISNA(MATCH(F9,ComponentAbbreviation,0))))</f>
        <v>0</v>
      </c>
      <c r="C9" s="118"/>
      <c r="D9" s="22"/>
      <c r="E9" s="95"/>
      <c r="F9" s="23"/>
      <c r="G9" s="24"/>
      <c r="H9" s="120"/>
    </row>
    <row r="10" spans="1:13" x14ac:dyDescent="0.25">
      <c r="A10" s="6" t="b">
        <f>COUNTIF(A8:ptrCellAbove,TRUE)&lt;&gt;0</f>
        <v>0</v>
      </c>
    </row>
    <row r="12" spans="1:13" ht="15.75" x14ac:dyDescent="0.25">
      <c r="C12" s="19" t="s">
        <v>30</v>
      </c>
      <c r="D12" s="15"/>
      <c r="E12" s="15"/>
      <c r="F12" s="15"/>
      <c r="G12" s="15"/>
      <c r="H12" s="15"/>
      <c r="I12" s="15"/>
      <c r="J12" s="15"/>
      <c r="K12" s="15"/>
      <c r="L12" s="15"/>
      <c r="M12" s="15"/>
    </row>
    <row r="13" spans="1:13" x14ac:dyDescent="0.25">
      <c r="C13" s="128"/>
      <c r="D13" s="128"/>
      <c r="E13" s="128"/>
      <c r="F13" s="128"/>
      <c r="G13" s="128"/>
      <c r="H13" s="128"/>
      <c r="I13" s="20"/>
      <c r="J13" s="20"/>
      <c r="K13" s="20"/>
      <c r="L13" s="20"/>
      <c r="M13" s="20"/>
    </row>
    <row r="14" spans="1:13" ht="15" customHeight="1" x14ac:dyDescent="0.25">
      <c r="C14" s="122"/>
      <c r="D14" s="123"/>
      <c r="E14" s="123"/>
      <c r="F14" s="123"/>
      <c r="G14" s="123"/>
      <c r="H14" s="124"/>
      <c r="I14" s="21"/>
      <c r="J14" s="21"/>
      <c r="K14" s="21"/>
      <c r="L14" s="21"/>
      <c r="M14" s="21"/>
    </row>
    <row r="15" spans="1:13" ht="15" customHeight="1" x14ac:dyDescent="0.25">
      <c r="C15" s="125"/>
      <c r="D15" s="126"/>
      <c r="E15" s="126"/>
      <c r="F15" s="126"/>
      <c r="G15" s="126"/>
      <c r="H15" s="127"/>
      <c r="I15" s="21"/>
      <c r="J15" s="21"/>
      <c r="K15" s="21"/>
      <c r="L15" s="21"/>
      <c r="M15" s="21"/>
    </row>
    <row r="16" spans="1:13" x14ac:dyDescent="0.25">
      <c r="C16" s="121"/>
      <c r="D16" s="121"/>
      <c r="E16" s="121"/>
      <c r="F16" s="121"/>
      <c r="G16" s="121"/>
      <c r="H16" s="121"/>
      <c r="I16" s="20"/>
      <c r="J16" s="20"/>
      <c r="K16" s="20"/>
      <c r="L16" s="20"/>
      <c r="M16" s="20"/>
    </row>
  </sheetData>
  <sheetProtection sheet="1" objects="1" scenarios="1" selectLockedCells="1"/>
  <dataConsolidate link="1"/>
  <mergeCells count="7">
    <mergeCell ref="C3:H3"/>
    <mergeCell ref="C8:C9"/>
    <mergeCell ref="H8:H9"/>
    <mergeCell ref="C16:H16"/>
    <mergeCell ref="C14:H14"/>
    <mergeCell ref="C15:H15"/>
    <mergeCell ref="C13:H13"/>
  </mergeCells>
  <conditionalFormatting sqref="F8:G9">
    <cfRule type="expression" dxfId="37" priority="1" stopIfTrue="1">
      <formula>$A8</formula>
    </cfRule>
  </conditionalFormatting>
  <dataValidations count="1">
    <dataValidation type="list" showErrorMessage="1" error="Please choose or enter a component abbreviation set up on the Agency Information worksheet." sqref="F8:F9">
      <formula1>ComponentAbbreviation</formula1>
    </dataValidation>
  </dataValidations>
  <pageMargins left="0.7" right="0.7" top="0.75" bottom="0.75" header="0.3" footer="0.3"/>
  <pageSetup orientation="portrait" horizont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ProcessedRequest"/>
  <dimension ref="A1:P17"/>
  <sheetViews>
    <sheetView showRowColHeaders="0" topLeftCell="E2" workbookViewId="0">
      <selection activeCell="F8" sqref="F8"/>
    </sheetView>
  </sheetViews>
  <sheetFormatPr defaultRowHeight="15" x14ac:dyDescent="0.25"/>
  <cols>
    <col min="1" max="1" width="11.5703125" style="11" hidden="1" customWidth="1"/>
    <col min="2" max="2" width="9.140625" style="11" hidden="1" customWidth="1"/>
    <col min="3" max="4" width="9.140625" style="66" hidden="1" customWidth="1"/>
    <col min="5" max="5" width="3.7109375" style="15" customWidth="1"/>
    <col min="6" max="6" width="20.7109375" style="11" customWidth="1"/>
    <col min="7" max="10" width="15.7109375" style="11" customWidth="1"/>
    <col min="11" max="16384" width="9.140625" style="11"/>
  </cols>
  <sheetData>
    <row r="1" spans="1:16" s="30" customFormat="1" ht="30" hidden="1" x14ac:dyDescent="0.25">
      <c r="A1" s="32" t="s">
        <v>69</v>
      </c>
      <c r="B1" s="77" t="s">
        <v>228</v>
      </c>
      <c r="C1" s="77" t="s">
        <v>229</v>
      </c>
      <c r="D1" s="77" t="s">
        <v>230</v>
      </c>
      <c r="E1" s="32"/>
    </row>
    <row r="2" spans="1:16" s="76" customFormat="1" ht="9.9499999999999993" customHeight="1" x14ac:dyDescent="0.25"/>
    <row r="3" spans="1:16" s="76" customFormat="1" ht="161.25" customHeight="1" x14ac:dyDescent="0.25">
      <c r="F3" s="116" t="s">
        <v>232</v>
      </c>
      <c r="G3" s="111"/>
      <c r="H3" s="111"/>
      <c r="I3" s="111"/>
      <c r="J3" s="111"/>
    </row>
    <row r="5" spans="1:16" ht="18.75" x14ac:dyDescent="0.3">
      <c r="F5" s="129" t="s">
        <v>21</v>
      </c>
      <c r="G5" s="129"/>
      <c r="H5" s="129"/>
      <c r="I5" s="129"/>
      <c r="J5" s="129"/>
      <c r="K5" s="10"/>
      <c r="L5" s="10"/>
      <c r="M5" s="10"/>
      <c r="N5" s="10"/>
      <c r="O5" s="10"/>
      <c r="P5" s="10"/>
    </row>
    <row r="7" spans="1:16" ht="36" x14ac:dyDescent="0.25">
      <c r="F7" s="102" t="s">
        <v>283</v>
      </c>
      <c r="G7" s="1" t="s">
        <v>28</v>
      </c>
      <c r="H7" s="1" t="s">
        <v>22</v>
      </c>
      <c r="I7" s="1" t="s">
        <v>23</v>
      </c>
      <c r="J7" s="1" t="s">
        <v>29</v>
      </c>
    </row>
    <row r="8" spans="1:16" x14ac:dyDescent="0.25">
      <c r="A8" s="15" t="b">
        <f>OR(COUNTIF(V_A_Components,F8)&gt;1,AND(NOT(ISBLANK(F8)),ISNA(MATCH(F8,ComponentAbbreviation,0))))</f>
        <v>0</v>
      </c>
      <c r="B8" s="11" t="b">
        <f t="shared" ref="B8:D9" si="0">OR(AND(ISBLANK($F8),NOT(ISBLANK(G8))),AND(NOT(ISBLANK($F8)),NOT(IsNonNegativeInteger(G8))))</f>
        <v>0</v>
      </c>
      <c r="C8" s="66" t="b">
        <f t="shared" si="0"/>
        <v>0</v>
      </c>
      <c r="D8" s="66" t="b">
        <f t="shared" si="0"/>
        <v>0</v>
      </c>
      <c r="F8" s="105" t="s">
        <v>295</v>
      </c>
      <c r="G8" s="16">
        <v>0</v>
      </c>
      <c r="H8" s="16">
        <v>0</v>
      </c>
      <c r="I8" s="16">
        <v>0</v>
      </c>
      <c r="J8" s="17">
        <f>G8+H8-I8</f>
        <v>0</v>
      </c>
    </row>
    <row r="9" spans="1:16" s="12" customFormat="1" x14ac:dyDescent="0.25">
      <c r="A9" s="66" t="b">
        <f>OR(COUNTIF(V_A_Components,F9)&gt;1,AND(NOT(ISBLANK(F9)),ISNA(MATCH(F9,ComponentAbbreviation,0))))</f>
        <v>0</v>
      </c>
      <c r="B9" s="66" t="b">
        <f t="shared" si="0"/>
        <v>0</v>
      </c>
      <c r="C9" s="66" t="b">
        <f t="shared" si="0"/>
        <v>0</v>
      </c>
      <c r="D9" s="66" t="b">
        <f t="shared" si="0"/>
        <v>0</v>
      </c>
      <c r="E9" s="15"/>
      <c r="F9" s="105"/>
      <c r="G9" s="16"/>
      <c r="H9" s="16"/>
      <c r="I9" s="16"/>
      <c r="J9" s="17">
        <f>G9+H9-I9</f>
        <v>0</v>
      </c>
    </row>
    <row r="10" spans="1:16" x14ac:dyDescent="0.25">
      <c r="B10" s="15"/>
      <c r="F10" s="1" t="s">
        <v>48</v>
      </c>
      <c r="G10" s="17">
        <f>SUM(G8:ptrCellAbove)</f>
        <v>0</v>
      </c>
      <c r="H10" s="17">
        <f>SUM(H8:ptrCellAbove)</f>
        <v>0</v>
      </c>
      <c r="I10" s="17">
        <f>SUM(I8:ptrCellAbove)</f>
        <v>0</v>
      </c>
      <c r="J10" s="17">
        <f>SUM(J8:ptrCellAbove)</f>
        <v>0</v>
      </c>
    </row>
    <row r="11" spans="1:16" x14ac:dyDescent="0.25">
      <c r="A11" s="11" t="b">
        <f>OR(A8:D10)</f>
        <v>0</v>
      </c>
    </row>
    <row r="13" spans="1:16" ht="15.75" x14ac:dyDescent="0.25">
      <c r="F13" s="13" t="s">
        <v>30</v>
      </c>
    </row>
    <row r="14" spans="1:16" x14ac:dyDescent="0.25">
      <c r="F14" s="131"/>
      <c r="G14" s="131"/>
      <c r="H14" s="131"/>
      <c r="I14" s="131"/>
      <c r="J14" s="131"/>
    </row>
    <row r="15" spans="1:16" ht="15" customHeight="1" x14ac:dyDescent="0.25">
      <c r="F15" s="122"/>
      <c r="G15" s="123"/>
      <c r="H15" s="123"/>
      <c r="I15" s="123"/>
      <c r="J15" s="124"/>
    </row>
    <row r="16" spans="1:16" ht="15" customHeight="1" x14ac:dyDescent="0.25">
      <c r="F16" s="122"/>
      <c r="G16" s="123"/>
      <c r="H16" s="123"/>
      <c r="I16" s="123"/>
      <c r="J16" s="124"/>
    </row>
    <row r="17" spans="6:10" x14ac:dyDescent="0.25">
      <c r="F17" s="130"/>
      <c r="G17" s="130"/>
      <c r="H17" s="130"/>
      <c r="I17" s="130"/>
      <c r="J17" s="130"/>
    </row>
  </sheetData>
  <sheetProtection sheet="1" objects="1" scenarios="1" selectLockedCells="1"/>
  <dataConsolidate link="1"/>
  <mergeCells count="6">
    <mergeCell ref="F3:J3"/>
    <mergeCell ref="F5:J5"/>
    <mergeCell ref="F17:J17"/>
    <mergeCell ref="F15:J15"/>
    <mergeCell ref="F16:J16"/>
    <mergeCell ref="F14:J14"/>
  </mergeCells>
  <conditionalFormatting sqref="F8:I9">
    <cfRule type="expression" dxfId="36" priority="2" stopIfTrue="1">
      <formula>A8</formula>
    </cfRule>
  </conditionalFormatting>
  <dataValidations count="2">
    <dataValidation type="list" showErrorMessage="1" error="Please choose or enter a component abbreviation set up on the Agency Information worksheet." sqref="F8:F9">
      <formula1>ComponentAbbreviation</formula1>
    </dataValidation>
    <dataValidation type="whole" operator="greaterThanOrEqual" showInputMessage="1" showErrorMessage="1" error="Please enter a non-negative integer." sqref="G8:I9">
      <formula1>0</formula1>
    </dataValidation>
  </dataValidations>
  <pageMargins left="0.7" right="0.7" top="0.75" bottom="0.75" header="0.3" footer="0.3"/>
  <pageSetup orientation="portrait" horizont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RequestDisposition"/>
  <dimension ref="A1:AD18"/>
  <sheetViews>
    <sheetView showRowColHeaders="0" topLeftCell="P2" workbookViewId="0">
      <selection activeCell="AC9" sqref="AC9"/>
    </sheetView>
  </sheetViews>
  <sheetFormatPr defaultRowHeight="15" x14ac:dyDescent="0.25"/>
  <cols>
    <col min="1" max="1" width="8.7109375" style="12" hidden="1" customWidth="1"/>
    <col min="2" max="2" width="8.7109375" style="15" hidden="1" customWidth="1"/>
    <col min="3" max="13" width="8.7109375" style="66" hidden="1" customWidth="1"/>
    <col min="14" max="15" width="14.42578125" style="15" hidden="1" customWidth="1"/>
    <col min="16" max="16" width="3.7109375" style="12" customWidth="1"/>
    <col min="17" max="17" width="12.7109375" style="12" customWidth="1"/>
    <col min="18" max="30" width="8.7109375" style="12" customWidth="1"/>
    <col min="31" max="16384" width="9.140625" style="12"/>
  </cols>
  <sheetData>
    <row r="1" spans="1:30" s="32" customFormat="1" ht="30" hidden="1" x14ac:dyDescent="0.25">
      <c r="A1" s="34" t="s">
        <v>19</v>
      </c>
      <c r="B1" s="34"/>
      <c r="C1" s="78"/>
      <c r="D1" s="78"/>
      <c r="E1" s="78"/>
      <c r="F1" s="78"/>
      <c r="G1" s="78"/>
      <c r="H1" s="78"/>
      <c r="I1" s="78"/>
      <c r="J1" s="78"/>
      <c r="K1" s="78"/>
      <c r="L1" s="78"/>
      <c r="M1" s="78"/>
      <c r="N1" s="34" t="s">
        <v>77</v>
      </c>
      <c r="O1" s="34" t="s">
        <v>76</v>
      </c>
    </row>
    <row r="2" spans="1:30" s="78" customFormat="1" ht="9.9499999999999993" customHeight="1" x14ac:dyDescent="0.25"/>
    <row r="3" spans="1:30" s="78" customFormat="1" ht="105.75" customHeight="1" x14ac:dyDescent="0.25">
      <c r="Q3" s="116" t="s">
        <v>235</v>
      </c>
      <c r="R3" s="111"/>
      <c r="S3" s="111"/>
      <c r="T3" s="111"/>
      <c r="U3" s="111"/>
      <c r="V3" s="111"/>
      <c r="W3" s="111"/>
      <c r="X3" s="111"/>
      <c r="Y3" s="111"/>
      <c r="Z3" s="111"/>
      <c r="AA3" s="111"/>
      <c r="AB3" s="111"/>
      <c r="AC3" s="111"/>
      <c r="AD3" s="111"/>
    </row>
    <row r="5" spans="1:30" ht="15.75" x14ac:dyDescent="0.25">
      <c r="Q5" s="135" t="s">
        <v>33</v>
      </c>
      <c r="R5" s="136"/>
      <c r="S5" s="136"/>
      <c r="T5" s="136"/>
      <c r="U5" s="136"/>
      <c r="V5" s="136"/>
      <c r="W5" s="136"/>
      <c r="X5" s="136"/>
      <c r="Y5" s="137"/>
      <c r="Z5" s="80"/>
      <c r="AA5" s="80"/>
    </row>
    <row r="7" spans="1:30" ht="45" customHeight="1" x14ac:dyDescent="0.25">
      <c r="Q7" s="140" t="s">
        <v>283</v>
      </c>
      <c r="R7" s="138" t="s">
        <v>34</v>
      </c>
      <c r="S7" s="138" t="s">
        <v>35</v>
      </c>
      <c r="T7" s="138" t="s">
        <v>36</v>
      </c>
      <c r="U7" s="132" t="s">
        <v>47</v>
      </c>
      <c r="V7" s="133"/>
      <c r="W7" s="133"/>
      <c r="X7" s="133"/>
      <c r="Y7" s="133"/>
      <c r="Z7" s="133"/>
      <c r="AA7" s="133"/>
      <c r="AB7" s="133"/>
      <c r="AC7" s="134"/>
      <c r="AD7" s="1"/>
    </row>
    <row r="8" spans="1:30" ht="84" x14ac:dyDescent="0.25">
      <c r="Q8" s="141"/>
      <c r="R8" s="139"/>
      <c r="S8" s="139"/>
      <c r="T8" s="139"/>
      <c r="U8" s="1" t="s">
        <v>37</v>
      </c>
      <c r="V8" s="1" t="s">
        <v>38</v>
      </c>
      <c r="W8" s="1" t="s">
        <v>39</v>
      </c>
      <c r="X8" s="1" t="s">
        <v>40</v>
      </c>
      <c r="Y8" s="1" t="s">
        <v>41</v>
      </c>
      <c r="Z8" s="1" t="s">
        <v>42</v>
      </c>
      <c r="AA8" s="1" t="s">
        <v>43</v>
      </c>
      <c r="AB8" s="1" t="s">
        <v>44</v>
      </c>
      <c r="AC8" s="102" t="s">
        <v>286</v>
      </c>
      <c r="AD8" s="1" t="s">
        <v>46</v>
      </c>
    </row>
    <row r="9" spans="1:30" x14ac:dyDescent="0.25">
      <c r="A9" s="12" t="b">
        <f>OR(COUNTIF(V_B_1_Components,Q9)&gt;1,AND(NOT(ISBLANK(Q9)),ISNA(MATCH(Q9,ComponentAbbreviation,0))))</f>
        <v>0</v>
      </c>
      <c r="B9" s="15" t="b">
        <f>OR(AND(ISBLANK($Q9),NOT(ISBLANK(R9))),AND(NOT(ISBLANK($Q9)),NOT(IsNonNegativeInteger(R9))))</f>
        <v>0</v>
      </c>
      <c r="C9" s="66" t="b">
        <f t="shared" ref="C9:M9" si="0">OR(AND(ISBLANK($Q9),NOT(ISBLANK(S9))),AND(NOT(ISBLANK($Q9)),NOT(IsNonNegativeInteger(S9))))</f>
        <v>0</v>
      </c>
      <c r="D9" s="66" t="b">
        <f t="shared" si="0"/>
        <v>0</v>
      </c>
      <c r="E9" s="66" t="b">
        <f t="shared" si="0"/>
        <v>0</v>
      </c>
      <c r="F9" s="66" t="b">
        <f t="shared" si="0"/>
        <v>0</v>
      </c>
      <c r="G9" s="66" t="b">
        <f t="shared" si="0"/>
        <v>0</v>
      </c>
      <c r="H9" s="66" t="b">
        <f t="shared" si="0"/>
        <v>0</v>
      </c>
      <c r="I9" s="66" t="b">
        <f t="shared" si="0"/>
        <v>0</v>
      </c>
      <c r="J9" s="66" t="b">
        <f t="shared" si="0"/>
        <v>0</v>
      </c>
      <c r="K9" s="66" t="b">
        <f t="shared" si="0"/>
        <v>0</v>
      </c>
      <c r="L9" s="66" t="b">
        <f t="shared" si="0"/>
        <v>0</v>
      </c>
      <c r="M9" s="66" t="b">
        <f t="shared" si="0"/>
        <v>0</v>
      </c>
      <c r="N9" s="15">
        <f>INDEX(V_A_Processed,MATCH(Q9,V_A_Components,0))</f>
        <v>0</v>
      </c>
      <c r="O9" s="15" t="b">
        <f>IF(ISBLANK(Q9),FALSE,IF(ISNA(N9),TRUE,N9&lt;&gt;AD9))</f>
        <v>0</v>
      </c>
      <c r="Q9" s="105" t="s">
        <v>295</v>
      </c>
      <c r="R9" s="16">
        <v>0</v>
      </c>
      <c r="S9" s="16">
        <v>0</v>
      </c>
      <c r="T9" s="16">
        <v>0</v>
      </c>
      <c r="U9" s="16">
        <v>0</v>
      </c>
      <c r="V9" s="16">
        <v>0</v>
      </c>
      <c r="W9" s="16">
        <v>0</v>
      </c>
      <c r="X9" s="16">
        <v>0</v>
      </c>
      <c r="Y9" s="16">
        <v>0</v>
      </c>
      <c r="Z9" s="16">
        <v>0</v>
      </c>
      <c r="AA9" s="16">
        <v>0</v>
      </c>
      <c r="AB9" s="16">
        <v>0</v>
      </c>
      <c r="AC9" s="16">
        <v>0</v>
      </c>
      <c r="AD9" s="17">
        <f>SUM(R9:AC9)</f>
        <v>0</v>
      </c>
    </row>
    <row r="10" spans="1:30" x14ac:dyDescent="0.25">
      <c r="A10" s="15" t="b">
        <f>OR(COUNTIF(V_B_1_Components,Q10)&gt;1,AND(NOT(ISBLANK(Q10)),ISNA(MATCH(Q10,ComponentAbbreviation,0))))</f>
        <v>0</v>
      </c>
      <c r="B10" s="66" t="b">
        <f>OR(AND(ISBLANK($Q10),NOT(ISBLANK(R10))),AND(NOT(ISBLANK($Q10)),NOT(IsNonNegativeInteger(R10))))</f>
        <v>0</v>
      </c>
      <c r="C10" s="66" t="b">
        <f t="shared" ref="C10:M10" si="1">OR(AND(ISBLANK($Q10),NOT(ISBLANK(S10))),AND(NOT(ISBLANK($Q10)),NOT(IsNonNegativeInteger(S10))))</f>
        <v>0</v>
      </c>
      <c r="D10" s="66" t="b">
        <f t="shared" si="1"/>
        <v>0</v>
      </c>
      <c r="E10" s="66" t="b">
        <f t="shared" si="1"/>
        <v>0</v>
      </c>
      <c r="F10" s="66" t="b">
        <f t="shared" si="1"/>
        <v>0</v>
      </c>
      <c r="G10" s="66" t="b">
        <f t="shared" si="1"/>
        <v>0</v>
      </c>
      <c r="H10" s="66" t="b">
        <f t="shared" si="1"/>
        <v>0</v>
      </c>
      <c r="I10" s="66" t="b">
        <f t="shared" si="1"/>
        <v>0</v>
      </c>
      <c r="J10" s="66" t="b">
        <f t="shared" si="1"/>
        <v>0</v>
      </c>
      <c r="K10" s="66" t="b">
        <f t="shared" si="1"/>
        <v>0</v>
      </c>
      <c r="L10" s="66" t="b">
        <f t="shared" si="1"/>
        <v>0</v>
      </c>
      <c r="M10" s="66" t="b">
        <f t="shared" si="1"/>
        <v>0</v>
      </c>
      <c r="N10" s="15" t="e">
        <f>INDEX(V_A_Processed,MATCH(Q10,V_A_Components,0))</f>
        <v>#N/A</v>
      </c>
      <c r="O10" s="15" t="b">
        <f>IF(ISBLANK(Q10),FALSE,IF(ISNA(N10),TRUE,N10&lt;&gt;AD10))</f>
        <v>0</v>
      </c>
      <c r="Q10" s="105"/>
      <c r="R10" s="16"/>
      <c r="S10" s="16"/>
      <c r="T10" s="16"/>
      <c r="U10" s="16"/>
      <c r="V10" s="16"/>
      <c r="W10" s="16"/>
      <c r="X10" s="16"/>
      <c r="Y10" s="16"/>
      <c r="Z10" s="16"/>
      <c r="AA10" s="16"/>
      <c r="AB10" s="16"/>
      <c r="AC10" s="16"/>
      <c r="AD10" s="17">
        <f>SUM(R10:AC10)</f>
        <v>0</v>
      </c>
    </row>
    <row r="11" spans="1:30" ht="24" x14ac:dyDescent="0.25">
      <c r="A11" s="15" t="b">
        <f>FALSE</f>
        <v>0</v>
      </c>
      <c r="B11" s="15" t="b">
        <f>FALSE</f>
        <v>0</v>
      </c>
      <c r="N11" s="15">
        <f>INDEX(V_A_Processed,MATCH(Q11,V_A_Components,0))</f>
        <v>0</v>
      </c>
      <c r="O11" s="15" t="b">
        <f>IF(ISBLANK(Q11),FALSE,IF(ISNA(N11),TRUE,N11&lt;&gt;AD11))</f>
        <v>0</v>
      </c>
      <c r="Q11" s="1" t="s">
        <v>48</v>
      </c>
      <c r="R11" s="17">
        <f>SUM(R9:ptrCellAbove)</f>
        <v>0</v>
      </c>
      <c r="S11" s="17">
        <f>SUM(S9:ptrCellAbove)</f>
        <v>0</v>
      </c>
      <c r="T11" s="17">
        <f>SUM(T9:ptrCellAbove)</f>
        <v>0</v>
      </c>
      <c r="U11" s="17">
        <f>SUM(U9:ptrCellAbove)</f>
        <v>0</v>
      </c>
      <c r="V11" s="17">
        <f>SUM(V9:ptrCellAbove)</f>
        <v>0</v>
      </c>
      <c r="W11" s="17">
        <f>SUM(W9:ptrCellAbove)</f>
        <v>0</v>
      </c>
      <c r="X11" s="17">
        <f>SUM(X9:ptrCellAbove)</f>
        <v>0</v>
      </c>
      <c r="Y11" s="17">
        <f>SUM(Y9:ptrCellAbove)</f>
        <v>0</v>
      </c>
      <c r="Z11" s="17">
        <f>SUM(Z9:ptrCellAbove)</f>
        <v>0</v>
      </c>
      <c r="AA11" s="17">
        <f>SUM(AA9:ptrCellAbove)</f>
        <v>0</v>
      </c>
      <c r="AB11" s="17">
        <f>SUM(AB9:ptrCellAbove)</f>
        <v>0</v>
      </c>
      <c r="AC11" s="17">
        <f>SUM(AC9:ptrCellAbove)</f>
        <v>0</v>
      </c>
      <c r="AD11" s="17">
        <f>SUM(AD9:ptrCellAbove)</f>
        <v>0</v>
      </c>
    </row>
    <row r="13" spans="1:30" x14ac:dyDescent="0.25">
      <c r="A13" s="12" t="b">
        <f>OR(A9:M11,O9:O11)</f>
        <v>0</v>
      </c>
    </row>
    <row r="14" spans="1:30" ht="15.75" x14ac:dyDescent="0.25">
      <c r="Q14" s="18" t="s">
        <v>30</v>
      </c>
      <c r="R14" s="15"/>
      <c r="S14" s="15"/>
      <c r="T14" s="15"/>
      <c r="U14" s="15"/>
    </row>
    <row r="15" spans="1:30" x14ac:dyDescent="0.25">
      <c r="Q15" s="128"/>
      <c r="R15" s="128"/>
      <c r="S15" s="128"/>
      <c r="T15" s="128"/>
      <c r="U15" s="128"/>
      <c r="V15" s="128"/>
      <c r="W15" s="128"/>
      <c r="X15" s="128"/>
      <c r="Y15" s="128"/>
      <c r="Z15" s="128"/>
      <c r="AA15" s="128"/>
      <c r="AB15" s="128"/>
      <c r="AC15" s="128"/>
      <c r="AD15" s="128"/>
    </row>
    <row r="16" spans="1:30" ht="15" customHeight="1" x14ac:dyDescent="0.25">
      <c r="Q16" s="122"/>
      <c r="R16" s="123"/>
      <c r="S16" s="123"/>
      <c r="T16" s="123"/>
      <c r="U16" s="123"/>
      <c r="V16" s="123"/>
      <c r="W16" s="123"/>
      <c r="X16" s="123"/>
      <c r="Y16" s="123"/>
      <c r="Z16" s="123"/>
      <c r="AA16" s="123"/>
      <c r="AB16" s="123"/>
      <c r="AC16" s="123"/>
      <c r="AD16" s="124"/>
    </row>
    <row r="17" spans="17:30" ht="15" customHeight="1" x14ac:dyDescent="0.25">
      <c r="Q17" s="122"/>
      <c r="R17" s="123"/>
      <c r="S17" s="123"/>
      <c r="T17" s="123"/>
      <c r="U17" s="123"/>
      <c r="V17" s="123"/>
      <c r="W17" s="123"/>
      <c r="X17" s="123"/>
      <c r="Y17" s="123"/>
      <c r="Z17" s="123"/>
      <c r="AA17" s="123"/>
      <c r="AB17" s="123"/>
      <c r="AC17" s="123"/>
      <c r="AD17" s="124"/>
    </row>
    <row r="18" spans="17:30" x14ac:dyDescent="0.25">
      <c r="Q18" s="121"/>
      <c r="R18" s="121"/>
      <c r="S18" s="121"/>
      <c r="T18" s="121"/>
      <c r="U18" s="121"/>
      <c r="V18" s="121"/>
      <c r="W18" s="121"/>
      <c r="X18" s="121"/>
      <c r="Y18" s="121"/>
      <c r="Z18" s="121"/>
      <c r="AA18" s="121"/>
      <c r="AB18" s="121"/>
      <c r="AC18" s="121"/>
      <c r="AD18" s="121"/>
    </row>
  </sheetData>
  <sheetProtection sheet="1" objects="1" scenarios="1" selectLockedCells="1"/>
  <mergeCells count="11">
    <mergeCell ref="Q16:AD16"/>
    <mergeCell ref="Q17:AD17"/>
    <mergeCell ref="Q15:AD15"/>
    <mergeCell ref="Q18:AD18"/>
    <mergeCell ref="T7:T8"/>
    <mergeCell ref="Q7:Q8"/>
    <mergeCell ref="Q3:AD3"/>
    <mergeCell ref="U7:AC7"/>
    <mergeCell ref="Q5:Y5"/>
    <mergeCell ref="R7:R8"/>
    <mergeCell ref="S7:S8"/>
  </mergeCells>
  <conditionalFormatting sqref="Q9:AC10">
    <cfRule type="expression" dxfId="35" priority="3" stopIfTrue="1">
      <formula>A9</formula>
    </cfRule>
  </conditionalFormatting>
  <conditionalFormatting sqref="AD9:AD11">
    <cfRule type="expression" dxfId="34" priority="1" stopIfTrue="1">
      <formula>O9</formula>
    </cfRule>
  </conditionalFormatting>
  <dataValidations count="2">
    <dataValidation type="list" showErrorMessage="1" error="Please choose or enter a component abbreviation set up on the Agency Information worksheet." sqref="Q9:Q10">
      <formula1>ComponentAbbreviation</formula1>
    </dataValidation>
    <dataValidation type="whole" operator="greaterThanOrEqual" showInputMessage="1" showErrorMessage="1" error="Please enter a non-negative integer." sqref="R9:AC10">
      <formula1>0</formula1>
    </dataValidation>
  </dataValidations>
  <pageMargins left="0.7" right="0.7" top="0.75" bottom="0.75" header="0.3" footer="0.3"/>
  <pageSetup orientation="portrait" horizont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therDenialReason"/>
  <dimension ref="A1:P16"/>
  <sheetViews>
    <sheetView showRowColHeaders="0" topLeftCell="F2" workbookViewId="0">
      <selection activeCell="G8" sqref="G8:G9"/>
    </sheetView>
  </sheetViews>
  <sheetFormatPr defaultRowHeight="15" x14ac:dyDescent="0.25"/>
  <cols>
    <col min="1" max="1" width="8.7109375" style="15" hidden="1" customWidth="1"/>
    <col min="2" max="3" width="8.7109375" style="66" hidden="1" customWidth="1"/>
    <col min="4" max="5" width="8.7109375" style="15" hidden="1" customWidth="1"/>
    <col min="6" max="6" width="3.7109375" style="15" customWidth="1"/>
    <col min="7" max="7" width="15.7109375" style="15" customWidth="1"/>
    <col min="8" max="8" width="60.7109375" style="15" customWidth="1"/>
    <col min="9" max="9" width="15.7109375" style="15" customWidth="1"/>
    <col min="10" max="10" width="12.7109375" style="15" customWidth="1"/>
    <col min="11" max="16384" width="9.140625" style="15"/>
  </cols>
  <sheetData>
    <row r="1" spans="1:16" s="30" customFormat="1" ht="60" hidden="1" x14ac:dyDescent="0.25">
      <c r="A1" s="29" t="s">
        <v>67</v>
      </c>
      <c r="B1" s="82" t="s">
        <v>233</v>
      </c>
      <c r="C1" s="82" t="s">
        <v>234</v>
      </c>
      <c r="D1" s="29" t="s">
        <v>68</v>
      </c>
      <c r="E1" s="36" t="s">
        <v>78</v>
      </c>
    </row>
    <row r="2" spans="1:16" ht="9.9499999999999993" customHeight="1" x14ac:dyDescent="0.25"/>
    <row r="3" spans="1:16" s="66" customFormat="1" ht="170.25" customHeight="1" x14ac:dyDescent="0.25">
      <c r="G3" s="115" t="s">
        <v>236</v>
      </c>
      <c r="H3" s="115"/>
      <c r="I3" s="115"/>
      <c r="J3" s="115"/>
    </row>
    <row r="4" spans="1:16" s="66" customFormat="1" ht="15" customHeight="1" x14ac:dyDescent="0.25"/>
    <row r="5" spans="1:16" ht="18.75" x14ac:dyDescent="0.3">
      <c r="G5" s="135" t="s">
        <v>66</v>
      </c>
      <c r="H5" s="137"/>
      <c r="I5" s="80"/>
      <c r="J5" s="10"/>
      <c r="K5" s="10"/>
      <c r="L5" s="10"/>
      <c r="M5" s="10"/>
      <c r="N5" s="10"/>
      <c r="O5" s="10"/>
      <c r="P5" s="10"/>
    </row>
    <row r="7" spans="1:16" ht="36" x14ac:dyDescent="0.25">
      <c r="G7" s="102" t="s">
        <v>283</v>
      </c>
      <c r="H7" s="102" t="s">
        <v>287</v>
      </c>
      <c r="I7" s="91" t="s">
        <v>261</v>
      </c>
      <c r="J7" s="102" t="s">
        <v>46</v>
      </c>
    </row>
    <row r="8" spans="1:16" x14ac:dyDescent="0.25">
      <c r="A8" s="143" t="b">
        <f>OR(COUNTIF($G$8:$G$10,G8)&gt;1,AND(NOT(ISBLANK(G8)),ISNA(MATCH(G8,ComponentAbbreviation,0))))</f>
        <v>0</v>
      </c>
      <c r="B8" s="81" t="b">
        <f>OR(NOT(BothOrNeither(G8,H8)),NOT(BothOrNeither(H8,I8)))</f>
        <v>0</v>
      </c>
      <c r="C8" s="81" t="b">
        <f>NOT(BothOrNeither(H8,I8))</f>
        <v>0</v>
      </c>
      <c r="D8" s="143" t="b">
        <f>IF(ISBLANK(G8),FALSE,IF(ISNA(E8),TRUE,E8&lt;&gt;J8))</f>
        <v>0</v>
      </c>
      <c r="E8" s="143">
        <f>INDEX(V_B_1_Other,MATCH(G8,V_B_1_Components,0))</f>
        <v>0</v>
      </c>
      <c r="G8" s="117" t="s">
        <v>295</v>
      </c>
      <c r="H8" s="83" t="s">
        <v>296</v>
      </c>
      <c r="I8" s="16">
        <v>0</v>
      </c>
      <c r="J8" s="119">
        <f>SUM($I$8:$I$9)</f>
        <v>0</v>
      </c>
    </row>
    <row r="9" spans="1:16" x14ac:dyDescent="0.25">
      <c r="A9" s="143"/>
      <c r="B9" s="81" t="b">
        <f>NOT(BothOrNeither(H9,I9))</f>
        <v>0</v>
      </c>
      <c r="C9" s="81" t="b">
        <f>NOT(BothOrNeither(H9,I9))</f>
        <v>0</v>
      </c>
      <c r="D9" s="143"/>
      <c r="E9" s="143"/>
      <c r="G9" s="142"/>
      <c r="H9" s="83"/>
      <c r="I9" s="16"/>
      <c r="J9" s="120"/>
    </row>
    <row r="10" spans="1:16" x14ac:dyDescent="0.25">
      <c r="D10" s="81" t="b">
        <f>IF(ISBLANK(G10),FALSE,IF(ISNA(E10),TRUE,E10&lt;&gt;J10))</f>
        <v>0</v>
      </c>
      <c r="E10" s="81">
        <f>INDEX(V_B_1_Other,MATCH(G10,V_B_1_Components,0))</f>
        <v>0</v>
      </c>
      <c r="G10" s="1" t="s">
        <v>48</v>
      </c>
      <c r="H10" s="31"/>
      <c r="I10" s="31"/>
      <c r="J10" s="17">
        <f>SUM(J8:ptrCellAbove)</f>
        <v>0</v>
      </c>
    </row>
    <row r="11" spans="1:16" x14ac:dyDescent="0.25">
      <c r="D11" s="81"/>
      <c r="E11" s="81"/>
      <c r="J11" s="28"/>
    </row>
    <row r="12" spans="1:16" ht="15.75" x14ac:dyDescent="0.25">
      <c r="A12" s="15" t="b">
        <f>OR(A8:D10)</f>
        <v>0</v>
      </c>
      <c r="G12" s="26" t="s">
        <v>30</v>
      </c>
    </row>
    <row r="13" spans="1:16" x14ac:dyDescent="0.25">
      <c r="G13" s="131"/>
      <c r="H13" s="131"/>
      <c r="I13" s="131"/>
      <c r="J13" s="131"/>
    </row>
    <row r="14" spans="1:16" ht="15" customHeight="1" x14ac:dyDescent="0.25">
      <c r="G14" s="122"/>
      <c r="H14" s="123"/>
      <c r="I14" s="123"/>
      <c r="J14" s="124"/>
    </row>
    <row r="15" spans="1:16" ht="15" customHeight="1" x14ac:dyDescent="0.25">
      <c r="G15" s="122"/>
      <c r="H15" s="123"/>
      <c r="I15" s="123"/>
      <c r="J15" s="124"/>
    </row>
    <row r="16" spans="1:16" x14ac:dyDescent="0.25">
      <c r="G16" s="130"/>
      <c r="H16" s="130"/>
      <c r="I16" s="130"/>
      <c r="J16" s="130"/>
    </row>
  </sheetData>
  <sheetProtection sheet="1" objects="1" scenarios="1" selectLockedCells="1"/>
  <mergeCells count="11">
    <mergeCell ref="G3:J3"/>
    <mergeCell ref="G5:H5"/>
    <mergeCell ref="A8:A9"/>
    <mergeCell ref="D8:D9"/>
    <mergeCell ref="E8:E9"/>
    <mergeCell ref="G16:J16"/>
    <mergeCell ref="G14:J14"/>
    <mergeCell ref="G13:J13"/>
    <mergeCell ref="G15:J15"/>
    <mergeCell ref="G8:G9"/>
    <mergeCell ref="J8:J9"/>
  </mergeCells>
  <conditionalFormatting sqref="G8 J8 J10 H8:I9">
    <cfRule type="expression" dxfId="33" priority="43" stopIfTrue="1">
      <formula>A8</formula>
    </cfRule>
  </conditionalFormatting>
  <dataValidations count="2">
    <dataValidation type="list" showErrorMessage="1" error="Please choose or enter a component abbreviation set up on the Agency Information worksheet." sqref="G8">
      <formula1>ComponentAbbreviation</formula1>
    </dataValidation>
    <dataValidation type="whole" operator="greaterThanOrEqual" showInputMessage="1" showErrorMessage="1" error="Please enter a non-negative integer." sqref="I8:I9">
      <formula1>0</formula1>
    </dataValidation>
  </dataValidations>
  <pageMargins left="0.7" right="0.7" top="0.75" bottom="0.75" header="0.3" footer="0.3"/>
  <pageSetup orientation="portrait" horizont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RequestDispositionExemptions"/>
  <dimension ref="A1:AE17"/>
  <sheetViews>
    <sheetView showRowColHeaders="0" topLeftCell="P2" workbookViewId="0">
      <selection activeCell="Q8" sqref="Q8"/>
    </sheetView>
  </sheetViews>
  <sheetFormatPr defaultRowHeight="15" x14ac:dyDescent="0.25"/>
  <cols>
    <col min="1" max="1" width="15.7109375" style="15" hidden="1" customWidth="1"/>
    <col min="2" max="15" width="7.7109375" style="66" hidden="1" customWidth="1"/>
    <col min="16" max="16" width="3.7109375" style="15" customWidth="1"/>
    <col min="17" max="17" width="15.7109375" style="15" customWidth="1"/>
    <col min="18" max="31" width="7.7109375" style="15" customWidth="1"/>
    <col min="32" max="16384" width="9.140625" style="15"/>
  </cols>
  <sheetData>
    <row r="1" spans="1:31" s="34" customFormat="1" hidden="1" x14ac:dyDescent="0.25">
      <c r="A1" s="36" t="s">
        <v>19</v>
      </c>
      <c r="B1" s="82"/>
      <c r="C1" s="82"/>
      <c r="D1" s="82"/>
      <c r="E1" s="82"/>
      <c r="F1" s="82"/>
      <c r="G1" s="82"/>
      <c r="H1" s="82"/>
      <c r="I1" s="82"/>
      <c r="J1" s="82"/>
      <c r="K1" s="82"/>
      <c r="L1" s="82"/>
      <c r="M1" s="82"/>
      <c r="N1" s="82"/>
      <c r="O1" s="82"/>
    </row>
    <row r="2" spans="1:31" ht="9.9499999999999993" customHeight="1" x14ac:dyDescent="0.25"/>
    <row r="3" spans="1:31" s="66" customFormat="1" ht="55.5" customHeight="1" x14ac:dyDescent="0.25">
      <c r="Q3" s="115" t="s">
        <v>238</v>
      </c>
      <c r="R3" s="115"/>
      <c r="S3" s="115"/>
      <c r="T3" s="115"/>
      <c r="U3" s="115"/>
      <c r="V3" s="115"/>
      <c r="W3" s="115"/>
      <c r="X3" s="115"/>
      <c r="Y3" s="115"/>
      <c r="Z3" s="115"/>
      <c r="AA3" s="115"/>
      <c r="AB3" s="115"/>
      <c r="AC3" s="115"/>
      <c r="AD3" s="115"/>
      <c r="AE3" s="115"/>
    </row>
    <row r="4" spans="1:31" s="66" customFormat="1" ht="15" customHeight="1" x14ac:dyDescent="0.25"/>
    <row r="5" spans="1:31" ht="15.75" x14ac:dyDescent="0.25">
      <c r="Q5" s="129" t="s">
        <v>50</v>
      </c>
      <c r="R5" s="129"/>
      <c r="S5" s="129"/>
      <c r="T5" s="129"/>
      <c r="U5" s="129"/>
      <c r="V5" s="129"/>
      <c r="W5" s="129"/>
      <c r="X5" s="129"/>
      <c r="Y5" s="129"/>
      <c r="Z5" s="129"/>
      <c r="AA5" s="129"/>
      <c r="AB5" s="80"/>
      <c r="AC5" s="80"/>
    </row>
    <row r="6" spans="1:31" x14ac:dyDescent="0.25">
      <c r="AB6" s="66"/>
      <c r="AC6" s="66"/>
    </row>
    <row r="7" spans="1:31" ht="24" x14ac:dyDescent="0.25">
      <c r="Q7" s="97" t="s">
        <v>283</v>
      </c>
      <c r="R7" s="98" t="s">
        <v>51</v>
      </c>
      <c r="S7" s="98" t="s">
        <v>52</v>
      </c>
      <c r="T7" s="98" t="s">
        <v>53</v>
      </c>
      <c r="U7" s="1" t="s">
        <v>54</v>
      </c>
      <c r="V7" s="1" t="s">
        <v>55</v>
      </c>
      <c r="W7" s="1" t="s">
        <v>56</v>
      </c>
      <c r="X7" s="1" t="s">
        <v>57</v>
      </c>
      <c r="Y7" s="1" t="s">
        <v>58</v>
      </c>
      <c r="Z7" s="1" t="s">
        <v>59</v>
      </c>
      <c r="AA7" s="1" t="s">
        <v>60</v>
      </c>
      <c r="AB7" s="1" t="s">
        <v>61</v>
      </c>
      <c r="AC7" s="1" t="s">
        <v>62</v>
      </c>
      <c r="AD7" s="1" t="s">
        <v>63</v>
      </c>
      <c r="AE7" s="1" t="s">
        <v>64</v>
      </c>
    </row>
    <row r="8" spans="1:31" x14ac:dyDescent="0.25">
      <c r="A8" s="15" t="b">
        <f>OR(COUNTIF($Q$8:$Q$10,Q8)&gt;1,AND(NOT(ISBLANK(Q8)),ISNA(MATCH(Q8,ComponentAbbreviation,0))))</f>
        <v>0</v>
      </c>
      <c r="B8" s="66" t="b">
        <f>OR(AND(ISBLANK($Q8),NOT(ISBLANK(R8))),AND(NOT(ISBLANK($Q8)),NOT(IsNonNegativeInteger(R8))))</f>
        <v>0</v>
      </c>
      <c r="C8" s="66" t="b">
        <f t="shared" ref="C8:O8" si="0">OR(AND(ISBLANK($Q8),NOT(ISBLANK(S8))),AND(NOT(ISBLANK($Q8)),NOT(IsNonNegativeInteger(S8))))</f>
        <v>0</v>
      </c>
      <c r="D8" s="66" t="b">
        <f t="shared" si="0"/>
        <v>0</v>
      </c>
      <c r="E8" s="66" t="b">
        <f t="shared" si="0"/>
        <v>0</v>
      </c>
      <c r="F8" s="66" t="b">
        <f t="shared" si="0"/>
        <v>0</v>
      </c>
      <c r="G8" s="66" t="b">
        <f t="shared" si="0"/>
        <v>0</v>
      </c>
      <c r="H8" s="66" t="b">
        <f t="shared" si="0"/>
        <v>0</v>
      </c>
      <c r="I8" s="66" t="b">
        <f t="shared" si="0"/>
        <v>0</v>
      </c>
      <c r="J8" s="66" t="b">
        <f t="shared" si="0"/>
        <v>0</v>
      </c>
      <c r="K8" s="66" t="b">
        <f t="shared" si="0"/>
        <v>0</v>
      </c>
      <c r="L8" s="66" t="b">
        <f t="shared" si="0"/>
        <v>0</v>
      </c>
      <c r="M8" s="66" t="b">
        <f t="shared" si="0"/>
        <v>0</v>
      </c>
      <c r="N8" s="66" t="b">
        <f t="shared" si="0"/>
        <v>0</v>
      </c>
      <c r="O8" s="66" t="b">
        <f t="shared" si="0"/>
        <v>0</v>
      </c>
      <c r="Q8" s="105" t="s">
        <v>295</v>
      </c>
      <c r="R8" s="16">
        <v>0</v>
      </c>
      <c r="S8" s="16">
        <v>0</v>
      </c>
      <c r="T8" s="16">
        <v>0</v>
      </c>
      <c r="U8" s="16">
        <v>0</v>
      </c>
      <c r="V8" s="16">
        <v>0</v>
      </c>
      <c r="W8" s="16">
        <v>0</v>
      </c>
      <c r="X8" s="16">
        <v>0</v>
      </c>
      <c r="Y8" s="16">
        <v>0</v>
      </c>
      <c r="Z8" s="16">
        <v>0</v>
      </c>
      <c r="AA8" s="16">
        <v>0</v>
      </c>
      <c r="AB8" s="16">
        <v>0</v>
      </c>
      <c r="AC8" s="16">
        <v>0</v>
      </c>
      <c r="AD8" s="16">
        <v>0</v>
      </c>
      <c r="AE8" s="16">
        <v>0</v>
      </c>
    </row>
    <row r="9" spans="1:31" x14ac:dyDescent="0.25">
      <c r="A9" s="15" t="b">
        <f>OR(COUNTIF($Q$8:$Q$10,Q9)&gt;1,AND(NOT(ISBLANK(Q9)),ISNA(MATCH(Q9,ComponentAbbreviation,0))))</f>
        <v>0</v>
      </c>
      <c r="B9" s="66" t="b">
        <f>OR(AND(ISBLANK($Q9),NOT(ISBLANK(R9))),AND(NOT(ISBLANK($Q9)),NOT(IsNonNegativeInteger(R9))))</f>
        <v>0</v>
      </c>
      <c r="C9" s="66" t="b">
        <f t="shared" ref="C9:O9" si="1">OR(AND(ISBLANK($Q9),NOT(ISBLANK(S9))),AND(NOT(ISBLANK($Q9)),NOT(IsNonNegativeInteger(S9))))</f>
        <v>0</v>
      </c>
      <c r="D9" s="66" t="b">
        <f t="shared" si="1"/>
        <v>0</v>
      </c>
      <c r="E9" s="66" t="b">
        <f t="shared" si="1"/>
        <v>0</v>
      </c>
      <c r="F9" s="66" t="b">
        <f t="shared" si="1"/>
        <v>0</v>
      </c>
      <c r="G9" s="66" t="b">
        <f t="shared" si="1"/>
        <v>0</v>
      </c>
      <c r="H9" s="66" t="b">
        <f t="shared" si="1"/>
        <v>0</v>
      </c>
      <c r="I9" s="66" t="b">
        <f t="shared" si="1"/>
        <v>0</v>
      </c>
      <c r="J9" s="66" t="b">
        <f t="shared" si="1"/>
        <v>0</v>
      </c>
      <c r="K9" s="66" t="b">
        <f t="shared" si="1"/>
        <v>0</v>
      </c>
      <c r="L9" s="66" t="b">
        <f t="shared" si="1"/>
        <v>0</v>
      </c>
      <c r="M9" s="66" t="b">
        <f t="shared" si="1"/>
        <v>0</v>
      </c>
      <c r="N9" s="66" t="b">
        <f t="shared" si="1"/>
        <v>0</v>
      </c>
      <c r="O9" s="66" t="b">
        <f t="shared" si="1"/>
        <v>0</v>
      </c>
      <c r="Q9" s="105"/>
      <c r="R9" s="16"/>
      <c r="S9" s="16"/>
      <c r="T9" s="16"/>
      <c r="U9" s="16"/>
      <c r="V9" s="16"/>
      <c r="W9" s="16"/>
      <c r="X9" s="16"/>
      <c r="Y9" s="16"/>
      <c r="Z9" s="16"/>
      <c r="AA9" s="16"/>
      <c r="AB9" s="16"/>
      <c r="AC9" s="16"/>
      <c r="AD9" s="16"/>
      <c r="AE9" s="16"/>
    </row>
    <row r="10" spans="1:31" x14ac:dyDescent="0.25">
      <c r="Q10" s="1" t="s">
        <v>48</v>
      </c>
      <c r="R10" s="17">
        <f>SUM(R8:ptrCellAbove)</f>
        <v>0</v>
      </c>
      <c r="S10" s="17">
        <f>SUM(S8:ptrCellAbove)</f>
        <v>0</v>
      </c>
      <c r="T10" s="17">
        <f>SUM(T8:ptrCellAbove)</f>
        <v>0</v>
      </c>
      <c r="U10" s="17">
        <f>SUM(U8:ptrCellAbove)</f>
        <v>0</v>
      </c>
      <c r="V10" s="17">
        <f>SUM(V8:ptrCellAbove)</f>
        <v>0</v>
      </c>
      <c r="W10" s="17">
        <f>SUM(W8:ptrCellAbove)</f>
        <v>0</v>
      </c>
      <c r="X10" s="17">
        <f>SUM(X8:ptrCellAbove)</f>
        <v>0</v>
      </c>
      <c r="Y10" s="17">
        <f>SUM(Y8:ptrCellAbove)</f>
        <v>0</v>
      </c>
      <c r="Z10" s="17">
        <f>SUM(Z8:ptrCellAbove)</f>
        <v>0</v>
      </c>
      <c r="AA10" s="17">
        <f>SUM(AA8:ptrCellAbove)</f>
        <v>0</v>
      </c>
      <c r="AB10" s="17">
        <f>SUM(AB8:ptrCellAbove)</f>
        <v>0</v>
      </c>
      <c r="AC10" s="17">
        <f>SUM(AC8:ptrCellAbove)</f>
        <v>0</v>
      </c>
      <c r="AD10" s="17">
        <f>SUM(AD8:ptrCellAbove)</f>
        <v>0</v>
      </c>
      <c r="AE10" s="17">
        <f>SUM(AE8:ptrCellAbove)</f>
        <v>0</v>
      </c>
    </row>
    <row r="11" spans="1:31" x14ac:dyDescent="0.25">
      <c r="A11" s="15" t="b">
        <f>OR(A8:O10)</f>
        <v>0</v>
      </c>
    </row>
    <row r="13" spans="1:31" ht="15.75" x14ac:dyDescent="0.25">
      <c r="Q13" s="25" t="s">
        <v>30</v>
      </c>
    </row>
    <row r="14" spans="1:31" x14ac:dyDescent="0.25">
      <c r="Q14" s="128"/>
      <c r="R14" s="128"/>
      <c r="S14" s="128"/>
      <c r="T14" s="128"/>
      <c r="U14" s="128"/>
      <c r="V14" s="128"/>
      <c r="W14" s="128"/>
      <c r="X14" s="128"/>
      <c r="Y14" s="128"/>
      <c r="Z14" s="128"/>
      <c r="AA14" s="128"/>
      <c r="AB14" s="128"/>
      <c r="AC14" s="128"/>
      <c r="AD14" s="128"/>
      <c r="AE14" s="128"/>
    </row>
    <row r="15" spans="1:31" ht="15" customHeight="1" x14ac:dyDescent="0.25">
      <c r="Q15" s="122"/>
      <c r="R15" s="123"/>
      <c r="S15" s="123"/>
      <c r="T15" s="123"/>
      <c r="U15" s="123"/>
      <c r="V15" s="123"/>
      <c r="W15" s="123"/>
      <c r="X15" s="123"/>
      <c r="Y15" s="123"/>
      <c r="Z15" s="123"/>
      <c r="AA15" s="123"/>
      <c r="AB15" s="123"/>
      <c r="AC15" s="123"/>
      <c r="AD15" s="123"/>
      <c r="AE15" s="124"/>
    </row>
    <row r="16" spans="1:31" ht="15" customHeight="1" x14ac:dyDescent="0.25">
      <c r="Q16" s="122"/>
      <c r="R16" s="123"/>
      <c r="S16" s="123"/>
      <c r="T16" s="123"/>
      <c r="U16" s="123"/>
      <c r="V16" s="123"/>
      <c r="W16" s="123"/>
      <c r="X16" s="123"/>
      <c r="Y16" s="123"/>
      <c r="Z16" s="123"/>
      <c r="AA16" s="123"/>
      <c r="AB16" s="123"/>
      <c r="AC16" s="123"/>
      <c r="AD16" s="123"/>
      <c r="AE16" s="124"/>
    </row>
    <row r="17" spans="17:31" x14ac:dyDescent="0.25">
      <c r="Q17" s="121"/>
      <c r="R17" s="121"/>
      <c r="S17" s="121"/>
      <c r="T17" s="121"/>
      <c r="U17" s="121"/>
      <c r="V17" s="121"/>
      <c r="W17" s="121"/>
      <c r="X17" s="121"/>
      <c r="Y17" s="121"/>
      <c r="Z17" s="121"/>
      <c r="AA17" s="121"/>
      <c r="AB17" s="121"/>
      <c r="AC17" s="121"/>
      <c r="AD17" s="121"/>
      <c r="AE17" s="121"/>
    </row>
  </sheetData>
  <sheetProtection sheet="1" objects="1" scenarios="1" selectLockedCells="1"/>
  <mergeCells count="6">
    <mergeCell ref="Q16:AE16"/>
    <mergeCell ref="Q14:AE14"/>
    <mergeCell ref="Q17:AE17"/>
    <mergeCell ref="Q3:AE3"/>
    <mergeCell ref="Q5:AA5"/>
    <mergeCell ref="Q15:AE15"/>
  </mergeCells>
  <conditionalFormatting sqref="Q8:AE9">
    <cfRule type="expression" dxfId="32" priority="2" stopIfTrue="1">
      <formula>A8</formula>
    </cfRule>
  </conditionalFormatting>
  <dataValidations count="2">
    <dataValidation type="list" showErrorMessage="1" error="Please choose or enter a component abbreviation set up on the Agency Information worksheet." sqref="Q8:Q9">
      <formula1>ComponentAbbreviation</formula1>
    </dataValidation>
    <dataValidation type="whole" operator="greaterThanOrEqual" showInputMessage="1" showErrorMessage="1" error="Please enter a non-negative integer." sqref="R8:AE9">
      <formula1>0</formula1>
    </dataValidation>
  </dataValidations>
  <pageMargins left="0.7" right="0.7" top="0.75" bottom="0.75" header="0.3" footer="0.3"/>
  <pageSetup orientation="portrait" horizont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ProcessedAppeal"/>
  <dimension ref="A1:P17"/>
  <sheetViews>
    <sheetView showRowColHeaders="0" topLeftCell="E2" workbookViewId="0">
      <selection activeCell="F8" sqref="F8"/>
    </sheetView>
  </sheetViews>
  <sheetFormatPr defaultRowHeight="15" x14ac:dyDescent="0.25"/>
  <cols>
    <col min="1" max="1" width="11.5703125" style="15" hidden="1" customWidth="1"/>
    <col min="2" max="2" width="9.140625" style="15" hidden="1" customWidth="1"/>
    <col min="3" max="4" width="9.140625" style="66" hidden="1" customWidth="1"/>
    <col min="5" max="5" width="3.7109375" style="15" customWidth="1"/>
    <col min="6" max="10" width="20.7109375" style="15" customWidth="1"/>
    <col min="11" max="16384" width="9.140625" style="15"/>
  </cols>
  <sheetData>
    <row r="1" spans="1:16" s="30" customFormat="1" ht="30" hidden="1" x14ac:dyDescent="0.25">
      <c r="A1" s="32" t="s">
        <v>69</v>
      </c>
      <c r="B1" s="78" t="s">
        <v>228</v>
      </c>
      <c r="C1" s="78" t="s">
        <v>229</v>
      </c>
      <c r="D1" s="78" t="s">
        <v>230</v>
      </c>
      <c r="E1" s="32"/>
    </row>
    <row r="2" spans="1:16" s="77" customFormat="1" ht="9.9499999999999993" customHeight="1" x14ac:dyDescent="0.25"/>
    <row r="3" spans="1:16" s="77" customFormat="1" ht="93" customHeight="1" x14ac:dyDescent="0.25">
      <c r="F3" s="116" t="s">
        <v>231</v>
      </c>
      <c r="G3" s="111"/>
      <c r="H3" s="111"/>
      <c r="I3" s="111"/>
      <c r="J3" s="111"/>
    </row>
    <row r="5" spans="1:16" ht="18.75" x14ac:dyDescent="0.3">
      <c r="F5" s="129" t="s">
        <v>71</v>
      </c>
      <c r="G5" s="129"/>
      <c r="H5" s="129"/>
      <c r="I5" s="129"/>
      <c r="J5" s="129"/>
      <c r="K5" s="129"/>
      <c r="L5" s="10"/>
      <c r="M5" s="10"/>
      <c r="N5" s="10"/>
      <c r="O5" s="10"/>
      <c r="P5" s="10"/>
    </row>
    <row r="7" spans="1:16" ht="36" x14ac:dyDescent="0.25">
      <c r="F7" s="102" t="s">
        <v>283</v>
      </c>
      <c r="G7" s="1" t="s">
        <v>72</v>
      </c>
      <c r="H7" s="1" t="s">
        <v>73</v>
      </c>
      <c r="I7" s="1" t="s">
        <v>74</v>
      </c>
      <c r="J7" s="1" t="s">
        <v>75</v>
      </c>
    </row>
    <row r="8" spans="1:16" x14ac:dyDescent="0.25">
      <c r="A8" s="15" t="b">
        <f>OR(COUNTIF(VI_A_Components,F8)&gt;1,AND(NOT(ISBLANK(F8)),ISNA(MATCH(F8,ComponentAbbreviation,0))))</f>
        <v>0</v>
      </c>
      <c r="B8" s="15" t="b">
        <f t="shared" ref="B8:D9" si="0">OR(AND(ISBLANK($F8),NOT(ISBLANK(G8))),AND(NOT(ISBLANK($F8)),NOT(IsNonNegativeInteger(G8))))</f>
        <v>0</v>
      </c>
      <c r="C8" s="66" t="b">
        <f t="shared" si="0"/>
        <v>0</v>
      </c>
      <c r="D8" s="66" t="b">
        <f t="shared" si="0"/>
        <v>0</v>
      </c>
      <c r="F8" s="105" t="s">
        <v>295</v>
      </c>
      <c r="G8" s="16">
        <v>0</v>
      </c>
      <c r="H8" s="16">
        <v>0</v>
      </c>
      <c r="I8" s="16">
        <v>0</v>
      </c>
      <c r="J8" s="17">
        <f>G8+H8-I8</f>
        <v>0</v>
      </c>
    </row>
    <row r="9" spans="1:16" x14ac:dyDescent="0.25">
      <c r="A9" s="66" t="b">
        <f>OR(COUNTIF(VI_A_Components,F9)&gt;1,AND(NOT(ISBLANK(F9)),ISNA(MATCH(F9,ComponentAbbreviation,0))))</f>
        <v>0</v>
      </c>
      <c r="B9" s="66" t="b">
        <f t="shared" si="0"/>
        <v>0</v>
      </c>
      <c r="C9" s="66" t="b">
        <f t="shared" si="0"/>
        <v>0</v>
      </c>
      <c r="D9" s="66" t="b">
        <f t="shared" si="0"/>
        <v>0</v>
      </c>
      <c r="F9" s="105"/>
      <c r="G9" s="16"/>
      <c r="H9" s="16"/>
      <c r="I9" s="16"/>
      <c r="J9" s="17">
        <f>G9+H9-I9</f>
        <v>0</v>
      </c>
    </row>
    <row r="10" spans="1:16" x14ac:dyDescent="0.25">
      <c r="F10" s="1" t="s">
        <v>48</v>
      </c>
      <c r="G10" s="17">
        <f>SUM(G8:ptrCellAbove)</f>
        <v>0</v>
      </c>
      <c r="H10" s="17">
        <f>SUM(H8:ptrCellAbove)</f>
        <v>0</v>
      </c>
      <c r="I10" s="17">
        <f>SUM(I8:ptrCellAbove)</f>
        <v>0</v>
      </c>
      <c r="J10" s="17">
        <f>SUM(J8:ptrCellAbove)</f>
        <v>0</v>
      </c>
    </row>
    <row r="11" spans="1:16" x14ac:dyDescent="0.25">
      <c r="A11" s="15" t="b">
        <f>OR(A8:D10)</f>
        <v>0</v>
      </c>
    </row>
    <row r="13" spans="1:16" ht="15.75" x14ac:dyDescent="0.25">
      <c r="F13" s="27" t="s">
        <v>30</v>
      </c>
    </row>
    <row r="14" spans="1:16" x14ac:dyDescent="0.25">
      <c r="F14" s="131"/>
      <c r="G14" s="131"/>
      <c r="H14" s="131"/>
      <c r="I14" s="131"/>
      <c r="J14" s="131"/>
    </row>
    <row r="15" spans="1:16" ht="15" customHeight="1" x14ac:dyDescent="0.25">
      <c r="F15" s="122"/>
      <c r="G15" s="123"/>
      <c r="H15" s="123"/>
      <c r="I15" s="123"/>
      <c r="J15" s="124"/>
    </row>
    <row r="16" spans="1:16" ht="15" customHeight="1" x14ac:dyDescent="0.25">
      <c r="F16" s="122"/>
      <c r="G16" s="123"/>
      <c r="H16" s="123"/>
      <c r="I16" s="123"/>
      <c r="J16" s="124"/>
    </row>
    <row r="17" spans="6:10" x14ac:dyDescent="0.25">
      <c r="F17" s="130"/>
      <c r="G17" s="130"/>
      <c r="H17" s="130"/>
      <c r="I17" s="130"/>
      <c r="J17" s="130"/>
    </row>
  </sheetData>
  <sheetProtection sheet="1" objects="1" scenarios="1" selectLockedCells="1"/>
  <mergeCells count="6">
    <mergeCell ref="F17:J17"/>
    <mergeCell ref="F5:K5"/>
    <mergeCell ref="F3:J3"/>
    <mergeCell ref="F14:J14"/>
    <mergeCell ref="F15:J15"/>
    <mergeCell ref="F16:J16"/>
  </mergeCells>
  <conditionalFormatting sqref="F8:I9">
    <cfRule type="expression" dxfId="31" priority="2" stopIfTrue="1">
      <formula>A8</formula>
    </cfRule>
  </conditionalFormatting>
  <dataValidations count="2">
    <dataValidation type="list" showErrorMessage="1" error="Please choose or enter a component abbreviation set up on the Agency Information worksheet." sqref="F8:F9">
      <formula1>ComponentAbbreviation</formula1>
    </dataValidation>
    <dataValidation type="whole" operator="greaterThanOrEqual" showInputMessage="1" showErrorMessage="1" error="Please enter a non-negative integer." sqref="G8:I9">
      <formula1>0</formula1>
    </dataValidation>
  </dataValidations>
  <pageMargins left="0.7" right="0.7" top="0.75" bottom="0.75" header="0.3" footer="0.3"/>
  <pageSetup orientation="portrait" horizont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AppealDisposition"/>
  <dimension ref="A1:V17"/>
  <sheetViews>
    <sheetView showRowColHeaders="0" topLeftCell="H2" workbookViewId="0">
      <selection activeCell="I8" sqref="I8"/>
    </sheetView>
  </sheetViews>
  <sheetFormatPr defaultRowHeight="15" x14ac:dyDescent="0.25"/>
  <cols>
    <col min="1" max="1" width="10.7109375" style="15" hidden="1" customWidth="1"/>
    <col min="2" max="5" width="7.7109375" style="66" hidden="1" customWidth="1"/>
    <col min="6" max="7" width="14.42578125" style="15" hidden="1" customWidth="1"/>
    <col min="8" max="8" width="3.7109375" style="15" customWidth="1"/>
    <col min="9" max="13" width="20.7109375" style="15" customWidth="1"/>
    <col min="14" max="14" width="15.7109375" style="15" customWidth="1"/>
    <col min="15" max="16384" width="9.140625" style="15"/>
  </cols>
  <sheetData>
    <row r="1" spans="1:22" s="34" customFormat="1" ht="30" hidden="1" x14ac:dyDescent="0.25">
      <c r="A1" s="34" t="s">
        <v>19</v>
      </c>
      <c r="B1" s="82"/>
      <c r="C1" s="82"/>
      <c r="D1" s="82"/>
      <c r="E1" s="82"/>
      <c r="F1" s="34" t="s">
        <v>77</v>
      </c>
      <c r="G1" s="34" t="s">
        <v>76</v>
      </c>
    </row>
    <row r="2" spans="1:22" ht="9.9499999999999993" customHeight="1" x14ac:dyDescent="0.25"/>
    <row r="3" spans="1:22" s="66" customFormat="1" ht="57" customHeight="1" x14ac:dyDescent="0.25">
      <c r="I3" s="115" t="s">
        <v>239</v>
      </c>
      <c r="J3" s="115"/>
      <c r="K3" s="115"/>
      <c r="L3" s="115"/>
      <c r="M3" s="115"/>
      <c r="N3" s="115"/>
      <c r="O3" s="84"/>
      <c r="P3" s="84"/>
      <c r="Q3" s="84"/>
      <c r="R3" s="84"/>
      <c r="S3" s="84"/>
      <c r="T3" s="84"/>
      <c r="U3" s="84"/>
      <c r="V3" s="84"/>
    </row>
    <row r="4" spans="1:22" s="66" customFormat="1" ht="15" customHeight="1" x14ac:dyDescent="0.25"/>
    <row r="5" spans="1:22" ht="15.75" x14ac:dyDescent="0.25">
      <c r="I5" s="129" t="s">
        <v>84</v>
      </c>
      <c r="J5" s="129"/>
      <c r="K5" s="129"/>
      <c r="L5" s="129"/>
      <c r="M5" s="129"/>
      <c r="N5" s="129"/>
    </row>
    <row r="7" spans="1:22" ht="48" x14ac:dyDescent="0.25">
      <c r="I7" s="97" t="s">
        <v>283</v>
      </c>
      <c r="J7" s="98" t="s">
        <v>80</v>
      </c>
      <c r="K7" s="98" t="s">
        <v>81</v>
      </c>
      <c r="L7" s="98" t="s">
        <v>82</v>
      </c>
      <c r="M7" s="1" t="s">
        <v>83</v>
      </c>
      <c r="N7" s="1" t="s">
        <v>46</v>
      </c>
    </row>
    <row r="8" spans="1:22" x14ac:dyDescent="0.25">
      <c r="A8" s="15" t="b">
        <f>OR(COUNTIF(VI_B_Components,I8)&gt;1,AND(NOT(ISBLANK(I8)),ISNA(MATCH(I8,ComponentAbbreviation,0))))</f>
        <v>0</v>
      </c>
      <c r="B8" s="66" t="b">
        <f t="shared" ref="B8:E9" si="0">OR(AND(ISBLANK($I8),NOT(ISBLANK(J8))),AND(NOT(ISBLANK($I8)),NOT(IsNonNegativeInteger(J8))))</f>
        <v>0</v>
      </c>
      <c r="C8" s="66" t="b">
        <f t="shared" si="0"/>
        <v>0</v>
      </c>
      <c r="D8" s="66" t="b">
        <f t="shared" si="0"/>
        <v>0</v>
      </c>
      <c r="E8" s="66" t="b">
        <f t="shared" si="0"/>
        <v>0</v>
      </c>
      <c r="F8" s="15">
        <f>INDEX(VI_A_Processed,MATCH(I8,VI_A_Components,0))</f>
        <v>0</v>
      </c>
      <c r="G8" s="15" t="b">
        <f>IF(ISBLANK(I8),FALSE,IF(ISNA(F8),TRUE,F8&lt;&gt;N8))</f>
        <v>0</v>
      </c>
      <c r="I8" s="105" t="s">
        <v>295</v>
      </c>
      <c r="J8" s="16">
        <v>0</v>
      </c>
      <c r="K8" s="16">
        <v>0</v>
      </c>
      <c r="L8" s="16">
        <v>0</v>
      </c>
      <c r="M8" s="16">
        <v>0</v>
      </c>
      <c r="N8" s="17">
        <f>SUM(J8:M8)</f>
        <v>0</v>
      </c>
    </row>
    <row r="9" spans="1:22" x14ac:dyDescent="0.25">
      <c r="A9" s="66" t="b">
        <f>OR(COUNTIF(VI_B_Components,I9)&gt;1,AND(NOT(ISBLANK(I9)),ISNA(MATCH(I9,ComponentAbbreviation,0))))</f>
        <v>0</v>
      </c>
      <c r="B9" s="66" t="b">
        <f t="shared" si="0"/>
        <v>0</v>
      </c>
      <c r="C9" s="66" t="b">
        <f t="shared" si="0"/>
        <v>0</v>
      </c>
      <c r="D9" s="66" t="b">
        <f t="shared" si="0"/>
        <v>0</v>
      </c>
      <c r="E9" s="66" t="b">
        <f t="shared" si="0"/>
        <v>0</v>
      </c>
      <c r="F9" s="66" t="e">
        <f>INDEX(VI_A_Processed,MATCH(I9,VI_A_Components,0))</f>
        <v>#N/A</v>
      </c>
      <c r="G9" s="66" t="b">
        <f>IF(ISBLANK(I9),FALSE,IF(ISNA(F9),TRUE,F9&lt;&gt;N9))</f>
        <v>0</v>
      </c>
      <c r="I9" s="105"/>
      <c r="J9" s="16"/>
      <c r="K9" s="16"/>
      <c r="L9" s="16"/>
      <c r="M9" s="16"/>
      <c r="N9" s="17">
        <f>SUM(J9:M9)</f>
        <v>0</v>
      </c>
    </row>
    <row r="10" spans="1:22" x14ac:dyDescent="0.25">
      <c r="F10" s="15">
        <f>INDEX(VI_A_Processed,MATCH(I10,VI_A_Components,0))</f>
        <v>0</v>
      </c>
      <c r="G10" s="15" t="b">
        <f>IF(ISBLANK(I10),FALSE,IF(ISNA(F10),TRUE,F10&lt;&gt;N10))</f>
        <v>0</v>
      </c>
      <c r="I10" s="1" t="s">
        <v>48</v>
      </c>
      <c r="J10" s="17">
        <f>SUM(J8:ptrCellAbove)</f>
        <v>0</v>
      </c>
      <c r="K10" s="17">
        <f>SUM(K8:ptrCellAbove)</f>
        <v>0</v>
      </c>
      <c r="L10" s="17">
        <f>SUM(L8:ptrCellAbove)</f>
        <v>0</v>
      </c>
      <c r="M10" s="17">
        <f>SUM(M8:ptrCellAbove)</f>
        <v>0</v>
      </c>
      <c r="N10" s="17">
        <f>SUM(N8:ptrCellAbove)</f>
        <v>0</v>
      </c>
    </row>
    <row r="11" spans="1:22" x14ac:dyDescent="0.25">
      <c r="A11" s="15" t="b">
        <f>OR(A8:E10,G8:G10)</f>
        <v>0</v>
      </c>
    </row>
    <row r="12" spans="1:22" s="66" customFormat="1" x14ac:dyDescent="0.25"/>
    <row r="13" spans="1:22" ht="15.75" x14ac:dyDescent="0.25">
      <c r="I13" s="33" t="s">
        <v>30</v>
      </c>
    </row>
    <row r="14" spans="1:22" x14ac:dyDescent="0.25">
      <c r="I14" s="128"/>
      <c r="J14" s="128"/>
      <c r="K14" s="128"/>
      <c r="L14" s="128"/>
      <c r="M14" s="128"/>
      <c r="N14" s="128"/>
    </row>
    <row r="15" spans="1:22" ht="15" customHeight="1" x14ac:dyDescent="0.25">
      <c r="I15" s="122"/>
      <c r="J15" s="123"/>
      <c r="K15" s="123"/>
      <c r="L15" s="123"/>
      <c r="M15" s="123"/>
      <c r="N15" s="124"/>
    </row>
    <row r="16" spans="1:22" ht="15" customHeight="1" x14ac:dyDescent="0.25">
      <c r="I16" s="122"/>
      <c r="J16" s="123"/>
      <c r="K16" s="123"/>
      <c r="L16" s="123"/>
      <c r="M16" s="123"/>
      <c r="N16" s="124"/>
    </row>
    <row r="17" spans="9:14" x14ac:dyDescent="0.25">
      <c r="I17" s="121"/>
      <c r="J17" s="121"/>
      <c r="K17" s="121"/>
      <c r="L17" s="121"/>
      <c r="M17" s="121"/>
      <c r="N17" s="121"/>
    </row>
  </sheetData>
  <sheetProtection sheet="1" objects="1" scenarios="1" selectLockedCells="1"/>
  <mergeCells count="6">
    <mergeCell ref="I17:N17"/>
    <mergeCell ref="I3:N3"/>
    <mergeCell ref="I5:N5"/>
    <mergeCell ref="I15:N15"/>
    <mergeCell ref="I16:N16"/>
    <mergeCell ref="I14:N14"/>
  </mergeCells>
  <conditionalFormatting sqref="I8:M9">
    <cfRule type="expression" dxfId="30" priority="3" stopIfTrue="1">
      <formula>A8</formula>
    </cfRule>
  </conditionalFormatting>
  <conditionalFormatting sqref="N8:N10">
    <cfRule type="expression" dxfId="29" priority="1" stopIfTrue="1">
      <formula>G8</formula>
    </cfRule>
  </conditionalFormatting>
  <dataValidations count="2">
    <dataValidation type="list" showErrorMessage="1" error="Please choose or enter a component abbreviation set up on the Agency Information worksheet." sqref="I8:I9">
      <formula1>ComponentAbbreviation</formula1>
    </dataValidation>
    <dataValidation type="whole" operator="greaterThanOrEqual" showInputMessage="1" showErrorMessage="1" error="Please enter a non-negative integer." sqref="J8:M9">
      <formula1>0</formula1>
    </dataValidation>
  </dataValidations>
  <pageMargins left="0.7" right="0.7" top="0.75" bottom="0.75" header="0.3" footer="0.3"/>
  <pageSetup orientation="portrait" horizont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AppealDispositionExemptions"/>
  <dimension ref="A1:AE17"/>
  <sheetViews>
    <sheetView showRowColHeaders="0" topLeftCell="P2" workbookViewId="0">
      <selection activeCell="Q8" sqref="Q8"/>
    </sheetView>
  </sheetViews>
  <sheetFormatPr defaultRowHeight="15" x14ac:dyDescent="0.25"/>
  <cols>
    <col min="1" max="1" width="15.7109375" style="15" hidden="1" customWidth="1"/>
    <col min="2" max="15" width="7.7109375" style="66" hidden="1" customWidth="1"/>
    <col min="16" max="16" width="3.7109375" style="15" customWidth="1"/>
    <col min="17" max="17" width="15.7109375" style="15" customWidth="1"/>
    <col min="18" max="31" width="7.7109375" style="15" customWidth="1"/>
    <col min="32" max="16384" width="9.140625" style="15"/>
  </cols>
  <sheetData>
    <row r="1" spans="1:31" s="36" customFormat="1" hidden="1" x14ac:dyDescent="0.25">
      <c r="A1" s="36" t="s">
        <v>19</v>
      </c>
      <c r="B1" s="82"/>
      <c r="C1" s="82"/>
      <c r="D1" s="82"/>
      <c r="E1" s="82"/>
      <c r="F1" s="82"/>
      <c r="G1" s="82"/>
      <c r="H1" s="82"/>
      <c r="I1" s="82"/>
      <c r="J1" s="82"/>
      <c r="K1" s="82"/>
      <c r="L1" s="82"/>
      <c r="M1" s="82"/>
      <c r="N1" s="82"/>
      <c r="O1" s="82"/>
    </row>
    <row r="2" spans="1:31" ht="9.9499999999999993" customHeight="1" x14ac:dyDescent="0.25"/>
    <row r="3" spans="1:31" s="66" customFormat="1" ht="58.5" customHeight="1" x14ac:dyDescent="0.25">
      <c r="Q3" s="115" t="s">
        <v>238</v>
      </c>
      <c r="R3" s="115"/>
      <c r="S3" s="115"/>
      <c r="T3" s="115"/>
      <c r="U3" s="115"/>
      <c r="V3" s="115"/>
      <c r="W3" s="115"/>
      <c r="X3" s="115"/>
      <c r="Y3" s="115"/>
      <c r="Z3" s="115"/>
      <c r="AA3" s="115"/>
      <c r="AB3" s="115"/>
      <c r="AC3" s="115"/>
      <c r="AD3" s="115"/>
      <c r="AE3" s="115"/>
    </row>
    <row r="4" spans="1:31" s="66" customFormat="1" x14ac:dyDescent="0.25"/>
    <row r="5" spans="1:31" ht="15.75" x14ac:dyDescent="0.25">
      <c r="Q5" s="129" t="s">
        <v>86</v>
      </c>
      <c r="R5" s="129"/>
      <c r="S5" s="129"/>
      <c r="T5" s="129"/>
      <c r="U5" s="129"/>
      <c r="V5" s="129"/>
      <c r="W5" s="129"/>
      <c r="X5" s="129"/>
      <c r="Y5" s="129"/>
      <c r="Z5" s="129"/>
      <c r="AA5" s="129"/>
      <c r="AB5" s="129"/>
      <c r="AC5" s="129"/>
    </row>
    <row r="7" spans="1:31" ht="24" x14ac:dyDescent="0.25">
      <c r="Q7" s="97" t="s">
        <v>283</v>
      </c>
      <c r="R7" s="98" t="s">
        <v>51</v>
      </c>
      <c r="S7" s="98" t="s">
        <v>52</v>
      </c>
      <c r="T7" s="98" t="s">
        <v>53</v>
      </c>
      <c r="U7" s="1" t="s">
        <v>54</v>
      </c>
      <c r="V7" s="1" t="s">
        <v>55</v>
      </c>
      <c r="W7" s="1" t="s">
        <v>56</v>
      </c>
      <c r="X7" s="1" t="s">
        <v>57</v>
      </c>
      <c r="Y7" s="1" t="s">
        <v>58</v>
      </c>
      <c r="Z7" s="1" t="s">
        <v>59</v>
      </c>
      <c r="AA7" s="1" t="s">
        <v>60</v>
      </c>
      <c r="AB7" s="1" t="s">
        <v>61</v>
      </c>
      <c r="AC7" s="1" t="s">
        <v>62</v>
      </c>
      <c r="AD7" s="1" t="s">
        <v>63</v>
      </c>
      <c r="AE7" s="1" t="s">
        <v>64</v>
      </c>
    </row>
    <row r="8" spans="1:31" x14ac:dyDescent="0.25">
      <c r="A8" s="15" t="b">
        <f>OR(COUNTIF($Q$8:$Q$10,Q8)&gt;1,AND(NOT(ISBLANK(Q8)),ISNA(MATCH(Q8,ComponentAbbreviation,0))))</f>
        <v>0</v>
      </c>
      <c r="B8" s="66" t="b">
        <f>OR(AND(ISBLANK($Q8),NOT(ISBLANK(R8))),AND(NOT(ISBLANK($Q8)),NOT(IsNonNegativeInteger(R8))))</f>
        <v>0</v>
      </c>
      <c r="C8" s="66" t="b">
        <f t="shared" ref="C8:O9" si="0">OR(AND(ISBLANK($Q8),NOT(ISBLANK(S8))),AND(NOT(ISBLANK($Q8)),NOT(IsNonNegativeInteger(S8))))</f>
        <v>0</v>
      </c>
      <c r="D8" s="66" t="b">
        <f t="shared" si="0"/>
        <v>0</v>
      </c>
      <c r="E8" s="66" t="b">
        <f t="shared" si="0"/>
        <v>0</v>
      </c>
      <c r="F8" s="66" t="b">
        <f t="shared" si="0"/>
        <v>0</v>
      </c>
      <c r="G8" s="66" t="b">
        <f t="shared" si="0"/>
        <v>0</v>
      </c>
      <c r="H8" s="66" t="b">
        <f t="shared" si="0"/>
        <v>0</v>
      </c>
      <c r="I8" s="66" t="b">
        <f t="shared" si="0"/>
        <v>0</v>
      </c>
      <c r="J8" s="66" t="b">
        <f t="shared" si="0"/>
        <v>0</v>
      </c>
      <c r="K8" s="66" t="b">
        <f t="shared" si="0"/>
        <v>0</v>
      </c>
      <c r="L8" s="66" t="b">
        <f t="shared" si="0"/>
        <v>0</v>
      </c>
      <c r="M8" s="66" t="b">
        <f t="shared" si="0"/>
        <v>0</v>
      </c>
      <c r="N8" s="66" t="b">
        <f t="shared" si="0"/>
        <v>0</v>
      </c>
      <c r="O8" s="66" t="b">
        <f t="shared" si="0"/>
        <v>0</v>
      </c>
      <c r="Q8" s="105" t="s">
        <v>295</v>
      </c>
      <c r="R8" s="16">
        <v>0</v>
      </c>
      <c r="S8" s="16">
        <v>0</v>
      </c>
      <c r="T8" s="16">
        <v>0</v>
      </c>
      <c r="U8" s="16">
        <v>0</v>
      </c>
      <c r="V8" s="16">
        <v>0</v>
      </c>
      <c r="W8" s="16">
        <v>0</v>
      </c>
      <c r="X8" s="16">
        <v>0</v>
      </c>
      <c r="Y8" s="16">
        <v>0</v>
      </c>
      <c r="Z8" s="16">
        <v>0</v>
      </c>
      <c r="AA8" s="16">
        <v>0</v>
      </c>
      <c r="AB8" s="16">
        <v>0</v>
      </c>
      <c r="AC8" s="16">
        <v>0</v>
      </c>
      <c r="AD8" s="16">
        <v>0</v>
      </c>
      <c r="AE8" s="16">
        <v>0</v>
      </c>
    </row>
    <row r="9" spans="1:31" x14ac:dyDescent="0.25">
      <c r="A9" s="15" t="b">
        <f>OR(COUNTIF($Q$8:$Q$10,Q9)&gt;1,AND(NOT(ISBLANK(Q9)),ISNA(MATCH(Q9,ComponentAbbreviation,0))))</f>
        <v>0</v>
      </c>
      <c r="B9" s="66" t="b">
        <f>OR(AND(ISBLANK($Q9),NOT(ISBLANK(R9))),AND(NOT(ISBLANK($Q9)),NOT(IsNonNegativeInteger(R9))))</f>
        <v>0</v>
      </c>
      <c r="C9" s="66" t="b">
        <f t="shared" si="0"/>
        <v>0</v>
      </c>
      <c r="D9" s="66" t="b">
        <f t="shared" si="0"/>
        <v>0</v>
      </c>
      <c r="E9" s="66" t="b">
        <f t="shared" si="0"/>
        <v>0</v>
      </c>
      <c r="F9" s="66" t="b">
        <f t="shared" si="0"/>
        <v>0</v>
      </c>
      <c r="G9" s="66" t="b">
        <f t="shared" si="0"/>
        <v>0</v>
      </c>
      <c r="H9" s="66" t="b">
        <f t="shared" si="0"/>
        <v>0</v>
      </c>
      <c r="I9" s="66" t="b">
        <f t="shared" si="0"/>
        <v>0</v>
      </c>
      <c r="J9" s="66" t="b">
        <f t="shared" si="0"/>
        <v>0</v>
      </c>
      <c r="K9" s="66" t="b">
        <f t="shared" si="0"/>
        <v>0</v>
      </c>
      <c r="L9" s="66" t="b">
        <f t="shared" si="0"/>
        <v>0</v>
      </c>
      <c r="M9" s="66" t="b">
        <f t="shared" si="0"/>
        <v>0</v>
      </c>
      <c r="N9" s="66" t="b">
        <f t="shared" si="0"/>
        <v>0</v>
      </c>
      <c r="O9" s="66" t="b">
        <f t="shared" si="0"/>
        <v>0</v>
      </c>
      <c r="Q9" s="105"/>
      <c r="R9" s="16"/>
      <c r="S9" s="16"/>
      <c r="T9" s="16"/>
      <c r="U9" s="16"/>
      <c r="V9" s="16"/>
      <c r="W9" s="16"/>
      <c r="X9" s="16"/>
      <c r="Y9" s="16"/>
      <c r="Z9" s="16"/>
      <c r="AA9" s="16"/>
      <c r="AB9" s="16"/>
      <c r="AC9" s="16"/>
      <c r="AD9" s="16"/>
      <c r="AE9" s="16"/>
    </row>
    <row r="10" spans="1:31" x14ac:dyDescent="0.25">
      <c r="Q10" s="1" t="s">
        <v>48</v>
      </c>
      <c r="R10" s="17">
        <f>SUM(R8:ptrCellAbove)</f>
        <v>0</v>
      </c>
      <c r="S10" s="17">
        <f>SUM(S8:ptrCellAbove)</f>
        <v>0</v>
      </c>
      <c r="T10" s="17">
        <f>SUM(T8:ptrCellAbove)</f>
        <v>0</v>
      </c>
      <c r="U10" s="17">
        <f>SUM(U8:ptrCellAbove)</f>
        <v>0</v>
      </c>
      <c r="V10" s="17">
        <f>SUM(V8:ptrCellAbove)</f>
        <v>0</v>
      </c>
      <c r="W10" s="17">
        <f>SUM(W8:ptrCellAbove)</f>
        <v>0</v>
      </c>
      <c r="X10" s="17">
        <f>SUM(X8:ptrCellAbove)</f>
        <v>0</v>
      </c>
      <c r="Y10" s="17">
        <f>SUM(Y8:ptrCellAbove)</f>
        <v>0</v>
      </c>
      <c r="Z10" s="17">
        <f>SUM(Z8:ptrCellAbove)</f>
        <v>0</v>
      </c>
      <c r="AA10" s="17">
        <f>SUM(AA8:ptrCellAbove)</f>
        <v>0</v>
      </c>
      <c r="AB10" s="17">
        <f>SUM(AB8:ptrCellAbove)</f>
        <v>0</v>
      </c>
      <c r="AC10" s="17">
        <f>SUM(AC8:ptrCellAbove)</f>
        <v>0</v>
      </c>
      <c r="AD10" s="17">
        <f>SUM(AD8:ptrCellAbove)</f>
        <v>0</v>
      </c>
      <c r="AE10" s="17">
        <f>SUM(AE8:ptrCellAbove)</f>
        <v>0</v>
      </c>
    </row>
    <row r="11" spans="1:31" x14ac:dyDescent="0.25">
      <c r="A11" s="15" t="b">
        <f>OR(A8:O10)</f>
        <v>0</v>
      </c>
    </row>
    <row r="13" spans="1:31" ht="15.75" x14ac:dyDescent="0.25">
      <c r="Q13" s="35" t="s">
        <v>30</v>
      </c>
    </row>
    <row r="14" spans="1:31" x14ac:dyDescent="0.25">
      <c r="Q14" s="128"/>
      <c r="R14" s="128"/>
      <c r="S14" s="128"/>
      <c r="T14" s="128"/>
      <c r="U14" s="128"/>
      <c r="V14" s="128"/>
      <c r="W14" s="128"/>
      <c r="X14" s="128"/>
      <c r="Y14" s="128"/>
      <c r="Z14" s="128"/>
      <c r="AA14" s="128"/>
      <c r="AB14" s="128"/>
      <c r="AC14" s="128"/>
      <c r="AD14" s="128"/>
      <c r="AE14" s="128"/>
    </row>
    <row r="15" spans="1:31" ht="15" customHeight="1" x14ac:dyDescent="0.25">
      <c r="Q15" s="122"/>
      <c r="R15" s="123"/>
      <c r="S15" s="123"/>
      <c r="T15" s="123"/>
      <c r="U15" s="123"/>
      <c r="V15" s="123"/>
      <c r="W15" s="123"/>
      <c r="X15" s="123"/>
      <c r="Y15" s="123"/>
      <c r="Z15" s="123"/>
      <c r="AA15" s="123"/>
      <c r="AB15" s="123"/>
      <c r="AC15" s="123"/>
      <c r="AD15" s="123"/>
      <c r="AE15" s="124"/>
    </row>
    <row r="16" spans="1:31" ht="15" customHeight="1" x14ac:dyDescent="0.25">
      <c r="Q16" s="122"/>
      <c r="R16" s="123"/>
      <c r="S16" s="123"/>
      <c r="T16" s="123"/>
      <c r="U16" s="123"/>
      <c r="V16" s="123"/>
      <c r="W16" s="123"/>
      <c r="X16" s="123"/>
      <c r="Y16" s="123"/>
      <c r="Z16" s="123"/>
      <c r="AA16" s="123"/>
      <c r="AB16" s="123"/>
      <c r="AC16" s="123"/>
      <c r="AD16" s="123"/>
      <c r="AE16" s="124"/>
    </row>
    <row r="17" spans="17:31" x14ac:dyDescent="0.25">
      <c r="Q17" s="121"/>
      <c r="R17" s="121"/>
      <c r="S17" s="121"/>
      <c r="T17" s="121"/>
      <c r="U17" s="121"/>
      <c r="V17" s="121"/>
      <c r="W17" s="121"/>
      <c r="X17" s="121"/>
      <c r="Y17" s="121"/>
      <c r="Z17" s="121"/>
      <c r="AA17" s="121"/>
      <c r="AB17" s="121"/>
      <c r="AC17" s="121"/>
      <c r="AD17" s="121"/>
      <c r="AE17" s="121"/>
    </row>
  </sheetData>
  <sheetProtection sheet="1" objects="1" scenarios="1" selectLockedCells="1"/>
  <mergeCells count="6">
    <mergeCell ref="Q3:AE3"/>
    <mergeCell ref="Q15:AE15"/>
    <mergeCell ref="Q16:AE16"/>
    <mergeCell ref="Q14:AE14"/>
    <mergeCell ref="Q17:AE17"/>
    <mergeCell ref="Q5:AC5"/>
  </mergeCells>
  <conditionalFormatting sqref="Q8:AE9">
    <cfRule type="expression" dxfId="28" priority="2" stopIfTrue="1">
      <formula>A8</formula>
    </cfRule>
  </conditionalFormatting>
  <dataValidations count="2">
    <dataValidation type="list" showErrorMessage="1" error="Please choose or enter a component abbreviation set up on the Agency Information worksheet." sqref="Q8:Q9">
      <formula1>ComponentAbbreviation</formula1>
    </dataValidation>
    <dataValidation type="whole" operator="greaterThanOrEqual" showInputMessage="1" showErrorMessage="1" error="Please enter a non-negative integer." sqref="R8:AE9">
      <formula1>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AppealNonExemptionDenial"/>
  <dimension ref="A1:AB17"/>
  <sheetViews>
    <sheetView showRowColHeaders="0" topLeftCell="M2" workbookViewId="0">
      <selection activeCell="N8" sqref="N8"/>
    </sheetView>
  </sheetViews>
  <sheetFormatPr defaultRowHeight="15" x14ac:dyDescent="0.25"/>
  <cols>
    <col min="1" max="1" width="14.42578125" style="15" hidden="1" customWidth="1"/>
    <col min="2" max="12" width="7.7109375" style="66" hidden="1" customWidth="1"/>
    <col min="13" max="13" width="3.7109375" style="15" customWidth="1"/>
    <col min="14" max="14" width="15.7109375" style="15" customWidth="1"/>
    <col min="15" max="25" width="9.7109375" style="15" customWidth="1"/>
    <col min="26" max="16384" width="9.140625" style="15"/>
  </cols>
  <sheetData>
    <row r="1" spans="1:28" s="36" customFormat="1" hidden="1" x14ac:dyDescent="0.25">
      <c r="A1" s="36" t="s">
        <v>19</v>
      </c>
      <c r="B1" s="82"/>
      <c r="C1" s="82"/>
      <c r="D1" s="82"/>
      <c r="E1" s="82"/>
      <c r="F1" s="82"/>
      <c r="G1" s="82"/>
      <c r="H1" s="82"/>
      <c r="I1" s="82"/>
      <c r="J1" s="82"/>
      <c r="K1" s="82"/>
      <c r="L1" s="82"/>
    </row>
    <row r="2" spans="1:28" ht="9.9499999999999993" customHeight="1" x14ac:dyDescent="0.25"/>
    <row r="3" spans="1:28" s="66" customFormat="1" ht="59.25" customHeight="1" x14ac:dyDescent="0.25">
      <c r="N3" s="145" t="s">
        <v>238</v>
      </c>
      <c r="O3" s="146"/>
      <c r="P3" s="146"/>
      <c r="Q3" s="146"/>
      <c r="R3" s="146"/>
      <c r="S3" s="146"/>
      <c r="T3" s="146"/>
      <c r="U3" s="146"/>
      <c r="V3" s="146"/>
      <c r="W3" s="146"/>
      <c r="X3" s="146"/>
      <c r="Y3" s="147"/>
      <c r="Z3" s="84"/>
      <c r="AA3" s="84"/>
      <c r="AB3" s="84"/>
    </row>
    <row r="4" spans="1:28" s="66" customFormat="1" x14ac:dyDescent="0.25"/>
    <row r="5" spans="1:28" ht="15.75" x14ac:dyDescent="0.25">
      <c r="N5" s="129" t="s">
        <v>93</v>
      </c>
      <c r="O5" s="129"/>
      <c r="P5" s="129"/>
      <c r="Q5" s="129"/>
      <c r="R5" s="129"/>
      <c r="S5" s="129"/>
      <c r="T5" s="129"/>
      <c r="U5" s="129"/>
      <c r="V5" s="129"/>
      <c r="W5" s="129"/>
    </row>
    <row r="7" spans="1:28" ht="84" x14ac:dyDescent="0.25">
      <c r="N7" s="97" t="s">
        <v>283</v>
      </c>
      <c r="O7" s="1" t="s">
        <v>37</v>
      </c>
      <c r="P7" s="1" t="s">
        <v>88</v>
      </c>
      <c r="Q7" s="1" t="s">
        <v>39</v>
      </c>
      <c r="R7" s="1" t="s">
        <v>40</v>
      </c>
      <c r="S7" s="1" t="s">
        <v>41</v>
      </c>
      <c r="T7" s="1" t="s">
        <v>89</v>
      </c>
      <c r="U7" s="1" t="s">
        <v>43</v>
      </c>
      <c r="V7" s="1" t="s">
        <v>90</v>
      </c>
      <c r="W7" s="1" t="s">
        <v>91</v>
      </c>
      <c r="X7" s="1" t="s">
        <v>92</v>
      </c>
      <c r="Y7" s="1" t="s">
        <v>45</v>
      </c>
    </row>
    <row r="8" spans="1:28" x14ac:dyDescent="0.25">
      <c r="A8" s="15" t="b">
        <f>OR(COUNTIF($N$8:$N$10,N8)&gt;1,AND(NOT(ISBLANK(N8)),ISNA(MATCH(N8,ComponentAbbreviation,0))))</f>
        <v>0</v>
      </c>
      <c r="B8" s="66" t="b">
        <f>OR(AND(ISBLANK($N8),NOT(ISBLANK(O8))),AND(NOT(ISBLANK($N8)),NOT(IsNonNegativeInteger(O8))))</f>
        <v>0</v>
      </c>
      <c r="C8" s="66" t="b">
        <f t="shared" ref="C8:L8" si="0">OR(AND(ISBLANK($N8),NOT(ISBLANK(P8))),AND(NOT(ISBLANK($N8)),NOT(IsNonNegativeInteger(P8))))</f>
        <v>0</v>
      </c>
      <c r="D8" s="66" t="b">
        <f t="shared" si="0"/>
        <v>0</v>
      </c>
      <c r="E8" s="66" t="b">
        <f t="shared" si="0"/>
        <v>0</v>
      </c>
      <c r="F8" s="66" t="b">
        <f t="shared" si="0"/>
        <v>0</v>
      </c>
      <c r="G8" s="66" t="b">
        <f t="shared" si="0"/>
        <v>0</v>
      </c>
      <c r="H8" s="66" t="b">
        <f t="shared" si="0"/>
        <v>0</v>
      </c>
      <c r="I8" s="66" t="b">
        <f t="shared" si="0"/>
        <v>0</v>
      </c>
      <c r="J8" s="66" t="b">
        <f t="shared" si="0"/>
        <v>0</v>
      </c>
      <c r="K8" s="66" t="b">
        <f t="shared" si="0"/>
        <v>0</v>
      </c>
      <c r="L8" s="66" t="b">
        <f t="shared" si="0"/>
        <v>0</v>
      </c>
      <c r="N8" s="105" t="s">
        <v>295</v>
      </c>
      <c r="O8" s="16">
        <v>0</v>
      </c>
      <c r="P8" s="16">
        <v>0</v>
      </c>
      <c r="Q8" s="16">
        <v>0</v>
      </c>
      <c r="R8" s="16">
        <v>0</v>
      </c>
      <c r="S8" s="16">
        <v>0</v>
      </c>
      <c r="T8" s="16">
        <v>0</v>
      </c>
      <c r="U8" s="16">
        <v>0</v>
      </c>
      <c r="V8" s="16">
        <v>0</v>
      </c>
      <c r="W8" s="16">
        <v>0</v>
      </c>
      <c r="X8" s="16">
        <v>0</v>
      </c>
      <c r="Y8" s="16">
        <v>0</v>
      </c>
    </row>
    <row r="9" spans="1:28" x14ac:dyDescent="0.25">
      <c r="A9" s="15" t="b">
        <f>OR(COUNTIF($N$8:$N$10,N9)&gt;1,AND(NOT(ISBLANK(N9)),ISNA(MATCH(N9,ComponentAbbreviation,0))))</f>
        <v>0</v>
      </c>
      <c r="B9" s="66" t="b">
        <f>OR(AND(ISBLANK($N9),NOT(ISBLANK(O9))),AND(NOT(ISBLANK($N9)),NOT(IsNonNegativeInteger(O9))))</f>
        <v>0</v>
      </c>
      <c r="C9" s="66" t="b">
        <f t="shared" ref="C9:L9" si="1">OR(AND(ISBLANK($N9),NOT(ISBLANK(P9))),AND(NOT(ISBLANK($N9)),NOT(IsNonNegativeInteger(P9))))</f>
        <v>0</v>
      </c>
      <c r="D9" s="66" t="b">
        <f t="shared" si="1"/>
        <v>0</v>
      </c>
      <c r="E9" s="66" t="b">
        <f t="shared" si="1"/>
        <v>0</v>
      </c>
      <c r="F9" s="66" t="b">
        <f t="shared" si="1"/>
        <v>0</v>
      </c>
      <c r="G9" s="66" t="b">
        <f t="shared" si="1"/>
        <v>0</v>
      </c>
      <c r="H9" s="66" t="b">
        <f t="shared" si="1"/>
        <v>0</v>
      </c>
      <c r="I9" s="66" t="b">
        <f t="shared" si="1"/>
        <v>0</v>
      </c>
      <c r="J9" s="66" t="b">
        <f t="shared" si="1"/>
        <v>0</v>
      </c>
      <c r="K9" s="66" t="b">
        <f t="shared" si="1"/>
        <v>0</v>
      </c>
      <c r="L9" s="66" t="b">
        <f t="shared" si="1"/>
        <v>0</v>
      </c>
      <c r="N9" s="105"/>
      <c r="O9" s="16"/>
      <c r="P9" s="16"/>
      <c r="Q9" s="16"/>
      <c r="R9" s="16"/>
      <c r="S9" s="16"/>
      <c r="T9" s="16"/>
      <c r="U9" s="16"/>
      <c r="V9" s="16"/>
      <c r="W9" s="16"/>
      <c r="X9" s="16"/>
      <c r="Y9" s="16"/>
    </row>
    <row r="10" spans="1:28" x14ac:dyDescent="0.25">
      <c r="N10" s="1" t="s">
        <v>48</v>
      </c>
      <c r="O10" s="17">
        <f>SUM(O8:ptrCellAbove)</f>
        <v>0</v>
      </c>
      <c r="P10" s="17">
        <f>SUM(P8:ptrCellAbove)</f>
        <v>0</v>
      </c>
      <c r="Q10" s="17">
        <f>SUM(Q8:ptrCellAbove)</f>
        <v>0</v>
      </c>
      <c r="R10" s="17">
        <f>SUM(R8:ptrCellAbove)</f>
        <v>0</v>
      </c>
      <c r="S10" s="17">
        <f>SUM(S8:ptrCellAbove)</f>
        <v>0</v>
      </c>
      <c r="T10" s="17">
        <f>SUM(T8:ptrCellAbove)</f>
        <v>0</v>
      </c>
      <c r="U10" s="17">
        <f>SUM(U8:ptrCellAbove)</f>
        <v>0</v>
      </c>
      <c r="V10" s="17">
        <f>SUM(V8:ptrCellAbove)</f>
        <v>0</v>
      </c>
      <c r="W10" s="17">
        <f>SUM(W8:ptrCellAbove)</f>
        <v>0</v>
      </c>
      <c r="X10" s="17">
        <f>SUM(X8:ptrCellAbove)</f>
        <v>0</v>
      </c>
      <c r="Y10" s="17">
        <f>SUM(Y8:ptrCellAbove)</f>
        <v>0</v>
      </c>
    </row>
    <row r="11" spans="1:28" x14ac:dyDescent="0.25">
      <c r="A11" s="15" t="b">
        <f>OR(A8:L10)</f>
        <v>0</v>
      </c>
    </row>
    <row r="12" spans="1:28" s="66" customFormat="1" x14ac:dyDescent="0.25"/>
    <row r="13" spans="1:28" ht="15.75" x14ac:dyDescent="0.25">
      <c r="N13" s="37" t="s">
        <v>30</v>
      </c>
    </row>
    <row r="14" spans="1:28" x14ac:dyDescent="0.25">
      <c r="N14" s="144"/>
      <c r="O14" s="144"/>
      <c r="P14" s="144"/>
      <c r="Q14" s="144"/>
      <c r="R14" s="144"/>
      <c r="S14" s="144"/>
      <c r="T14" s="144"/>
      <c r="U14" s="144"/>
      <c r="V14" s="144"/>
      <c r="W14" s="144"/>
      <c r="X14" s="144"/>
      <c r="Y14" s="144"/>
    </row>
    <row r="15" spans="1:28" ht="15" customHeight="1" x14ac:dyDescent="0.25">
      <c r="N15" s="122"/>
      <c r="O15" s="123"/>
      <c r="P15" s="123"/>
      <c r="Q15" s="123"/>
      <c r="R15" s="123"/>
      <c r="S15" s="123"/>
      <c r="T15" s="123"/>
      <c r="U15" s="123"/>
      <c r="V15" s="123"/>
      <c r="W15" s="123"/>
      <c r="X15" s="123"/>
      <c r="Y15" s="124"/>
    </row>
    <row r="16" spans="1:28" ht="15" customHeight="1" x14ac:dyDescent="0.25">
      <c r="N16" s="122"/>
      <c r="O16" s="123"/>
      <c r="P16" s="123"/>
      <c r="Q16" s="123"/>
      <c r="R16" s="123"/>
      <c r="S16" s="123"/>
      <c r="T16" s="123"/>
      <c r="U16" s="123"/>
      <c r="V16" s="123"/>
      <c r="W16" s="123"/>
      <c r="X16" s="123"/>
      <c r="Y16" s="124"/>
    </row>
    <row r="17" spans="14:25" x14ac:dyDescent="0.25">
      <c r="N17" s="144"/>
      <c r="O17" s="144"/>
      <c r="P17" s="144"/>
      <c r="Q17" s="144"/>
      <c r="R17" s="144"/>
      <c r="S17" s="144"/>
      <c r="T17" s="144"/>
      <c r="U17" s="144"/>
      <c r="V17" s="144"/>
      <c r="W17" s="144"/>
      <c r="X17" s="144"/>
      <c r="Y17" s="144"/>
    </row>
  </sheetData>
  <sheetProtection sheet="1" objects="1" scenarios="1" selectLockedCells="1"/>
  <mergeCells count="6">
    <mergeCell ref="N17:Y17"/>
    <mergeCell ref="N5:W5"/>
    <mergeCell ref="N3:Y3"/>
    <mergeCell ref="N15:Y15"/>
    <mergeCell ref="N16:Y16"/>
    <mergeCell ref="N14:Y14"/>
  </mergeCells>
  <conditionalFormatting sqref="N8:Y9">
    <cfRule type="expression" dxfId="27" priority="2" stopIfTrue="1">
      <formula>A8</formula>
    </cfRule>
  </conditionalFormatting>
  <dataValidations count="2">
    <dataValidation type="list" showErrorMessage="1" error="Please choose or enter a component abbreviation set up on the Agency Information worksheet." sqref="N8:N9">
      <formula1>ComponentAbbreviation</formula1>
    </dataValidation>
    <dataValidation type="whole" operator="greaterThanOrEqual" allowBlank="1" showInputMessage="1" showErrorMessage="1" error="Please enter a non-negative integer." sqref="O8:Y9">
      <formula1>0</formula1>
    </dataValidation>
  </dataValidations>
  <pageMargins left="0.7" right="0.7" top="0.75" bottom="0.75" header="0.3" footer="0.3"/>
  <pageSetup orientation="portrait" horizont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AppealDenialOtherReason"/>
  <dimension ref="A1:P16"/>
  <sheetViews>
    <sheetView showRowColHeaders="0" topLeftCell="F2" workbookViewId="0">
      <selection activeCell="G8" sqref="G8:G9"/>
    </sheetView>
  </sheetViews>
  <sheetFormatPr defaultRowHeight="15" x14ac:dyDescent="0.25"/>
  <cols>
    <col min="1" max="1" width="8.7109375" style="15" hidden="1" customWidth="1"/>
    <col min="2" max="5" width="8.7109375" style="66" hidden="1" customWidth="1"/>
    <col min="6" max="6" width="3.7109375" style="15" customWidth="1"/>
    <col min="7" max="7" width="15.7109375" style="15" customWidth="1"/>
    <col min="8" max="8" width="60.7109375" style="15" customWidth="1"/>
    <col min="9" max="9" width="15.7109375" style="15" customWidth="1"/>
    <col min="10" max="10" width="12.7109375" style="15" customWidth="1"/>
    <col min="11" max="16384" width="9.140625" style="15"/>
  </cols>
  <sheetData>
    <row r="1" spans="1:16" s="36" customFormat="1" ht="60" hidden="1" x14ac:dyDescent="0.25">
      <c r="A1" s="36" t="s">
        <v>67</v>
      </c>
      <c r="B1" s="82" t="s">
        <v>233</v>
      </c>
      <c r="C1" s="82" t="s">
        <v>234</v>
      </c>
      <c r="D1" s="78" t="s">
        <v>68</v>
      </c>
      <c r="E1" s="78" t="s">
        <v>78</v>
      </c>
    </row>
    <row r="2" spans="1:16" ht="9.9499999999999993" customHeight="1" x14ac:dyDescent="0.25"/>
    <row r="3" spans="1:16" s="66" customFormat="1" ht="176.25" customHeight="1" x14ac:dyDescent="0.25">
      <c r="G3" s="115" t="s">
        <v>237</v>
      </c>
      <c r="H3" s="115"/>
      <c r="I3" s="115"/>
      <c r="J3" s="115"/>
    </row>
    <row r="4" spans="1:16" s="66" customFormat="1" ht="15" customHeight="1" x14ac:dyDescent="0.25"/>
    <row r="5" spans="1:16" ht="18.75" x14ac:dyDescent="0.3">
      <c r="G5" s="129" t="s">
        <v>95</v>
      </c>
      <c r="H5" s="129"/>
      <c r="I5" s="129"/>
      <c r="J5" s="129"/>
      <c r="K5" s="10"/>
      <c r="L5" s="10"/>
      <c r="M5" s="10"/>
      <c r="N5" s="10"/>
      <c r="O5" s="10"/>
      <c r="P5" s="10"/>
    </row>
    <row r="7" spans="1:16" ht="36" x14ac:dyDescent="0.25">
      <c r="G7" s="102" t="s">
        <v>283</v>
      </c>
      <c r="H7" s="102" t="s">
        <v>288</v>
      </c>
      <c r="I7" s="91" t="s">
        <v>261</v>
      </c>
      <c r="J7" s="102" t="s">
        <v>46</v>
      </c>
    </row>
    <row r="8" spans="1:16" x14ac:dyDescent="0.25">
      <c r="A8" s="143" t="b">
        <f>OR(COUNTIF($G$8:$G$10,G8)&gt;1,AND(NOT(ISBLANK(G8)),ISNA(MATCH(G8,ComponentAbbreviation,0))))</f>
        <v>0</v>
      </c>
      <c r="B8" s="81" t="b">
        <f>OR(NOT(BothOrNeither(G8,H8)),NOT(BothOrNeither(H8,I8)))</f>
        <v>0</v>
      </c>
      <c r="C8" s="81" t="b">
        <f>NOT(BothOrNeither(H8,I8))</f>
        <v>0</v>
      </c>
      <c r="D8" s="143" t="b">
        <f>IF(ISBLANK(G8),FALSE,IF(ISNA(E8),TRUE,E8&lt;&gt;J8))</f>
        <v>0</v>
      </c>
      <c r="E8" s="143">
        <f>INDEX(VI_C_2_Other,MATCH(G8,VI_C_2_Components,0))</f>
        <v>0</v>
      </c>
      <c r="G8" s="117" t="s">
        <v>295</v>
      </c>
      <c r="H8" s="83" t="s">
        <v>296</v>
      </c>
      <c r="I8" s="16">
        <v>0</v>
      </c>
      <c r="J8" s="119">
        <f>SUM($I$8:$I$9)</f>
        <v>0</v>
      </c>
    </row>
    <row r="9" spans="1:16" x14ac:dyDescent="0.25">
      <c r="A9" s="143"/>
      <c r="B9" s="81" t="b">
        <f>NOT(BothOrNeither(H9,I9))</f>
        <v>0</v>
      </c>
      <c r="C9" s="81" t="b">
        <f>NOT(BothOrNeither(H9,I9))</f>
        <v>0</v>
      </c>
      <c r="D9" s="143"/>
      <c r="E9" s="143"/>
      <c r="G9" s="142"/>
      <c r="H9" s="83"/>
      <c r="I9" s="16"/>
      <c r="J9" s="120"/>
    </row>
    <row r="10" spans="1:16" x14ac:dyDescent="0.25">
      <c r="D10" s="81" t="b">
        <f>IF(ISBLANK(G10),FALSE,IF(ISNA(E10),TRUE,E10&lt;&gt;J10))</f>
        <v>0</v>
      </c>
      <c r="E10" s="81">
        <f>INDEX(VI_C_2_Other,MATCH(G10,VI_C_2_Components,0))</f>
        <v>0</v>
      </c>
      <c r="G10" s="1" t="s">
        <v>48</v>
      </c>
      <c r="H10" s="31"/>
      <c r="I10" s="31"/>
      <c r="J10" s="17">
        <f>SUM(J8:ptrCellAbove)</f>
        <v>0</v>
      </c>
    </row>
    <row r="11" spans="1:16" x14ac:dyDescent="0.25">
      <c r="D11" s="81"/>
      <c r="E11" s="81"/>
      <c r="J11" s="28"/>
    </row>
    <row r="12" spans="1:16" ht="15.75" x14ac:dyDescent="0.25">
      <c r="A12" s="15" t="b">
        <f>OR(A8:D10)</f>
        <v>0</v>
      </c>
      <c r="G12" s="38" t="s">
        <v>30</v>
      </c>
    </row>
    <row r="13" spans="1:16" x14ac:dyDescent="0.25">
      <c r="G13" s="131"/>
      <c r="H13" s="131"/>
      <c r="I13" s="131"/>
      <c r="J13" s="131"/>
    </row>
    <row r="14" spans="1:16" ht="15" customHeight="1" x14ac:dyDescent="0.25">
      <c r="G14" s="122"/>
      <c r="H14" s="123"/>
      <c r="I14" s="123"/>
      <c r="J14" s="124"/>
    </row>
    <row r="15" spans="1:16" ht="15" customHeight="1" x14ac:dyDescent="0.25">
      <c r="G15" s="122"/>
      <c r="H15" s="123"/>
      <c r="I15" s="123"/>
      <c r="J15" s="124"/>
    </row>
    <row r="16" spans="1:16" x14ac:dyDescent="0.25">
      <c r="G16" s="130"/>
      <c r="H16" s="130"/>
      <c r="I16" s="130"/>
      <c r="J16" s="130"/>
    </row>
  </sheetData>
  <sheetProtection sheet="1" objects="1" scenarios="1" selectLockedCells="1"/>
  <mergeCells count="11">
    <mergeCell ref="A8:A9"/>
    <mergeCell ref="D8:D9"/>
    <mergeCell ref="E8:E9"/>
    <mergeCell ref="G15:J15"/>
    <mergeCell ref="G16:J16"/>
    <mergeCell ref="G14:J14"/>
    <mergeCell ref="G13:J13"/>
    <mergeCell ref="G3:J3"/>
    <mergeCell ref="G5:J5"/>
    <mergeCell ref="G8:G9"/>
    <mergeCell ref="J8:J9"/>
  </mergeCells>
  <conditionalFormatting sqref="G8 J8 J10 H8:I9">
    <cfRule type="expression" dxfId="26" priority="10" stopIfTrue="1">
      <formula>A8</formula>
    </cfRule>
  </conditionalFormatting>
  <dataValidations count="2">
    <dataValidation type="list" showErrorMessage="1" error="Please choose or enter a component abbreviation set up on the Agency Information worksheet." sqref="G8">
      <formula1>ComponentAbbreviation</formula1>
    </dataValidation>
    <dataValidation type="whole" operator="greaterThanOrEqual" showInputMessage="1" showErrorMessage="1" error="Please enter a non-negative integer." sqref="I8:I9">
      <formula1>0</formula1>
    </dataValidation>
  </dataValidations>
  <pageMargins left="0.7" right="0.7" top="0.75" bottom="0.75" header="0.3" footer="0.3"/>
  <pageSetup orientation="portrait" horizont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AppealResponseTime"/>
  <dimension ref="A1:Q17"/>
  <sheetViews>
    <sheetView showRowColHeaders="0" topLeftCell="F2" workbookViewId="0">
      <selection activeCell="H8" sqref="H8"/>
    </sheetView>
  </sheetViews>
  <sheetFormatPr defaultRowHeight="15" x14ac:dyDescent="0.25"/>
  <cols>
    <col min="1" max="1" width="11.5703125" style="15" hidden="1" customWidth="1"/>
    <col min="2" max="5" width="7.7109375" style="66" hidden="1" customWidth="1"/>
    <col min="6" max="6" width="3.7109375" style="15" customWidth="1"/>
    <col min="7" max="11" width="20.7109375" style="15" customWidth="1"/>
    <col min="12" max="16384" width="9.140625" style="15"/>
  </cols>
  <sheetData>
    <row r="1" spans="1:17" s="36" customFormat="1" ht="30" hidden="1" x14ac:dyDescent="0.25">
      <c r="A1" s="36" t="s">
        <v>69</v>
      </c>
      <c r="B1" s="82"/>
      <c r="C1" s="82"/>
      <c r="D1" s="82"/>
      <c r="E1" s="82"/>
    </row>
    <row r="2" spans="1:17" s="82" customFormat="1" ht="9.9499999999999993" customHeight="1" x14ac:dyDescent="0.25">
      <c r="B2" s="66"/>
      <c r="C2" s="66"/>
      <c r="D2" s="66"/>
      <c r="E2" s="66"/>
    </row>
    <row r="3" spans="1:17" s="82" customFormat="1" ht="143.25" customHeight="1" x14ac:dyDescent="0.25">
      <c r="B3" s="66"/>
      <c r="C3" s="66"/>
      <c r="D3" s="66"/>
      <c r="E3" s="66"/>
      <c r="G3" s="116" t="s">
        <v>264</v>
      </c>
      <c r="H3" s="111"/>
      <c r="I3" s="111"/>
      <c r="J3" s="111"/>
      <c r="K3" s="111"/>
    </row>
    <row r="5" spans="1:17" ht="18.75" x14ac:dyDescent="0.3">
      <c r="G5" s="129" t="s">
        <v>100</v>
      </c>
      <c r="H5" s="129"/>
      <c r="I5" s="129"/>
      <c r="J5" s="129"/>
      <c r="K5" s="80"/>
      <c r="L5" s="10"/>
      <c r="M5" s="10"/>
      <c r="N5" s="10"/>
      <c r="O5" s="10"/>
      <c r="P5" s="10"/>
      <c r="Q5" s="10"/>
    </row>
    <row r="7" spans="1:17" x14ac:dyDescent="0.25">
      <c r="G7" s="102" t="s">
        <v>283</v>
      </c>
      <c r="H7" s="1" t="s">
        <v>97</v>
      </c>
      <c r="I7" s="1" t="s">
        <v>128</v>
      </c>
      <c r="J7" s="1" t="s">
        <v>98</v>
      </c>
      <c r="K7" s="1" t="s">
        <v>99</v>
      </c>
    </row>
    <row r="8" spans="1:17" x14ac:dyDescent="0.25">
      <c r="A8" s="15" t="b">
        <f>OR(COUNTIF($G$8:$G$10,G8)&gt;1,AND(NOT(ISBLANK(G8)),ISNA(MATCH(G8,ComponentAbbrevNoAgency,0))))</f>
        <v>0</v>
      </c>
      <c r="B8" s="66" t="b">
        <f t="shared" ref="B8:E9" si="0">OR(AND(ISBLANK($G8),NOT(ISBLANK(H8))),AND(NOT(ISBLANK($G8)),NOT(IsNonNegativeDecimal(H8,FALSE,FALSE,TRUE))))</f>
        <v>0</v>
      </c>
      <c r="C8" s="66" t="b">
        <f t="shared" si="0"/>
        <v>0</v>
      </c>
      <c r="D8" s="66" t="b">
        <f t="shared" si="0"/>
        <v>0</v>
      </c>
      <c r="E8" s="66" t="b">
        <f t="shared" si="0"/>
        <v>0</v>
      </c>
      <c r="G8" s="105"/>
      <c r="H8" s="40"/>
      <c r="I8" s="40"/>
      <c r="J8" s="40"/>
      <c r="K8" s="40"/>
    </row>
    <row r="9" spans="1:17" x14ac:dyDescent="0.25">
      <c r="A9" s="66" t="b">
        <f>OR(COUNTIF($G$8:$G$10,G9)&gt;1,AND(NOT(ISBLANK(G9)),ISNA(MATCH(G9,ComponentAbbrevNoAgency,0))))</f>
        <v>0</v>
      </c>
      <c r="B9" s="66" t="b">
        <f t="shared" si="0"/>
        <v>0</v>
      </c>
      <c r="C9" s="66" t="b">
        <f t="shared" si="0"/>
        <v>0</v>
      </c>
      <c r="D9" s="66" t="b">
        <f t="shared" si="0"/>
        <v>0</v>
      </c>
      <c r="E9" s="66" t="b">
        <f t="shared" si="0"/>
        <v>0</v>
      </c>
      <c r="G9" s="105"/>
      <c r="H9" s="40"/>
      <c r="I9" s="40"/>
      <c r="J9" s="40"/>
      <c r="K9" s="40"/>
    </row>
    <row r="10" spans="1:17" x14ac:dyDescent="0.25">
      <c r="B10" s="66" t="b">
        <f>NOT(IsNonNegativeDecimal(H10,FALSE,FALSE,TRUE))</f>
        <v>1</v>
      </c>
      <c r="C10" s="66" t="b">
        <f>NOT(IsNonNegativeDecimal(I10,FALSE,FALSE,TRUE))</f>
        <v>1</v>
      </c>
      <c r="D10" s="66" t="b">
        <f>NOT(IsNonNegativeDecimal(J10,FALSE,FALSE,TRUE))</f>
        <v>1</v>
      </c>
      <c r="E10" s="66" t="b">
        <f>NOT(IsNonNegativeDecimal(K10,FALSE,FALSE,TRUE))</f>
        <v>1</v>
      </c>
      <c r="G10" s="1" t="s">
        <v>48</v>
      </c>
      <c r="H10" s="40"/>
      <c r="I10" s="40"/>
      <c r="J10" s="40"/>
      <c r="K10" s="40"/>
    </row>
    <row r="11" spans="1:17" x14ac:dyDescent="0.25">
      <c r="A11" s="15" t="b">
        <f>OR(A8:E10)</f>
        <v>1</v>
      </c>
    </row>
    <row r="12" spans="1:17" s="66" customFormat="1" x14ac:dyDescent="0.25"/>
    <row r="13" spans="1:17" ht="15.75" x14ac:dyDescent="0.25">
      <c r="G13" s="39" t="s">
        <v>30</v>
      </c>
    </row>
    <row r="14" spans="1:17" x14ac:dyDescent="0.25">
      <c r="G14" s="131"/>
      <c r="H14" s="131"/>
      <c r="I14" s="131"/>
      <c r="J14" s="131"/>
      <c r="K14" s="131"/>
    </row>
    <row r="15" spans="1:17" ht="15" customHeight="1" x14ac:dyDescent="0.25">
      <c r="G15" s="122"/>
      <c r="H15" s="123"/>
      <c r="I15" s="123"/>
      <c r="J15" s="123"/>
      <c r="K15" s="124"/>
    </row>
    <row r="16" spans="1:17" ht="15" customHeight="1" x14ac:dyDescent="0.25">
      <c r="G16" s="122"/>
      <c r="H16" s="123"/>
      <c r="I16" s="123"/>
      <c r="J16" s="123"/>
      <c r="K16" s="124"/>
    </row>
    <row r="17" spans="7:11" x14ac:dyDescent="0.25">
      <c r="G17" s="130"/>
      <c r="H17" s="130"/>
      <c r="I17" s="130"/>
      <c r="J17" s="130"/>
      <c r="K17" s="130"/>
    </row>
  </sheetData>
  <sheetProtection sheet="1" objects="1" scenarios="1" selectLockedCells="1"/>
  <dataConsolidate link="1"/>
  <mergeCells count="6">
    <mergeCell ref="G3:K3"/>
    <mergeCell ref="G14:K14"/>
    <mergeCell ref="G15:K15"/>
    <mergeCell ref="G16:K16"/>
    <mergeCell ref="G17:K17"/>
    <mergeCell ref="G5:J5"/>
  </mergeCells>
  <conditionalFormatting sqref="G8:G9 H8:K10">
    <cfRule type="expression" dxfId="25" priority="2" stopIfTrue="1">
      <formula>A8</formula>
    </cfRule>
  </conditionalFormatting>
  <dataValidations count="1">
    <dataValidation type="list" showErrorMessage="1" error="Please choose or enter a component abbreviation set up on the Agency Information worksheet." sqref="G8:G9">
      <formula1>ComponentAbbrevNoAgency</formula1>
    </dataValidation>
  </dataValidations>
  <pageMargins left="0.7" right="0.7" top="0.75" bottom="0.75" header="0.3" footer="0.3"/>
  <pageSetup orientation="portrait" horizont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ldestPendingAppeal"/>
  <dimension ref="A1:X18"/>
  <sheetViews>
    <sheetView showRowColHeaders="0" topLeftCell="L2" workbookViewId="0">
      <selection activeCell="M8" sqref="M8:M9"/>
    </sheetView>
  </sheetViews>
  <sheetFormatPr defaultRowHeight="15" x14ac:dyDescent="0.25"/>
  <cols>
    <col min="1" max="11" width="8.7109375" style="15" hidden="1" customWidth="1"/>
    <col min="12" max="12" width="3.7109375" style="15" customWidth="1"/>
    <col min="13" max="13" width="15.7109375" style="15" customWidth="1"/>
    <col min="14" max="14" width="19.7109375" style="15" customWidth="1"/>
    <col min="15" max="24" width="9.7109375" style="15" customWidth="1"/>
    <col min="25" max="16384" width="9.140625" style="15"/>
  </cols>
  <sheetData>
    <row r="1" spans="1:24" s="36" customFormat="1" ht="45" hidden="1" x14ac:dyDescent="0.25">
      <c r="A1" s="36" t="s">
        <v>69</v>
      </c>
      <c r="B1" s="44" t="s">
        <v>114</v>
      </c>
      <c r="C1" s="44" t="s">
        <v>115</v>
      </c>
      <c r="D1" s="44" t="s">
        <v>116</v>
      </c>
      <c r="E1" s="44" t="s">
        <v>117</v>
      </c>
      <c r="F1" s="44" t="s">
        <v>118</v>
      </c>
      <c r="G1" s="44" t="s">
        <v>119</v>
      </c>
      <c r="H1" s="44" t="s">
        <v>120</v>
      </c>
      <c r="I1" s="44" t="s">
        <v>121</v>
      </c>
      <c r="J1" s="44" t="s">
        <v>122</v>
      </c>
      <c r="K1" s="44" t="s">
        <v>123</v>
      </c>
    </row>
    <row r="2" spans="1:24" s="82" customFormat="1" ht="9.9499999999999993" customHeight="1" x14ac:dyDescent="0.25"/>
    <row r="3" spans="1:24" s="82" customFormat="1" ht="78.75" customHeight="1" x14ac:dyDescent="0.25">
      <c r="M3" s="115" t="s">
        <v>265</v>
      </c>
      <c r="N3" s="115"/>
      <c r="O3" s="115"/>
      <c r="P3" s="115"/>
      <c r="Q3" s="115"/>
      <c r="R3" s="115"/>
      <c r="S3" s="115"/>
      <c r="T3" s="115"/>
      <c r="U3" s="115"/>
      <c r="V3" s="115"/>
      <c r="W3" s="115"/>
      <c r="X3" s="115"/>
    </row>
    <row r="5" spans="1:24" ht="18.75" x14ac:dyDescent="0.3">
      <c r="M5" s="129" t="s">
        <v>195</v>
      </c>
      <c r="N5" s="129"/>
      <c r="O5" s="129"/>
      <c r="P5" s="129"/>
      <c r="Q5" s="129"/>
      <c r="R5" s="129"/>
      <c r="S5" s="10"/>
      <c r="T5" s="10"/>
      <c r="U5" s="10"/>
      <c r="V5" s="10"/>
      <c r="W5" s="10"/>
      <c r="X5" s="10"/>
    </row>
    <row r="7" spans="1:24" s="36" customFormat="1" ht="24" x14ac:dyDescent="0.25">
      <c r="M7" s="43" t="s">
        <v>283</v>
      </c>
      <c r="N7" s="43"/>
      <c r="O7" s="43" t="s">
        <v>102</v>
      </c>
      <c r="P7" s="43" t="s">
        <v>103</v>
      </c>
      <c r="Q7" s="43" t="s">
        <v>104</v>
      </c>
      <c r="R7" s="43" t="s">
        <v>105</v>
      </c>
      <c r="S7" s="43" t="s">
        <v>106</v>
      </c>
      <c r="T7" s="43" t="s">
        <v>107</v>
      </c>
      <c r="U7" s="43" t="s">
        <v>108</v>
      </c>
      <c r="V7" s="43" t="s">
        <v>109</v>
      </c>
      <c r="W7" s="43" t="s">
        <v>110</v>
      </c>
      <c r="X7" s="43" t="s">
        <v>111</v>
      </c>
    </row>
    <row r="8" spans="1:24" x14ac:dyDescent="0.25">
      <c r="A8" s="143" t="b">
        <f>OR(COUNTIF($M$8:$M$10,M8)&gt;1,AND(NOT(ISBLANK(M8)),ISNA(MATCH(M8,ComponentAbbrevNoAgency,0))))</f>
        <v>0</v>
      </c>
      <c r="B8" s="42" t="b">
        <f t="shared" ref="B8:K8" si="0">NOT(AND(BothOrNeither($M8,O8),IsValidOldestDate(O8,N8)))</f>
        <v>0</v>
      </c>
      <c r="C8" s="89" t="b">
        <f t="shared" si="0"/>
        <v>0</v>
      </c>
      <c r="D8" s="89" t="b">
        <f t="shared" si="0"/>
        <v>0</v>
      </c>
      <c r="E8" s="89" t="b">
        <f t="shared" si="0"/>
        <v>0</v>
      </c>
      <c r="F8" s="89" t="b">
        <f t="shared" si="0"/>
        <v>0</v>
      </c>
      <c r="G8" s="89" t="b">
        <f t="shared" si="0"/>
        <v>0</v>
      </c>
      <c r="H8" s="89" t="b">
        <f t="shared" si="0"/>
        <v>0</v>
      </c>
      <c r="I8" s="89" t="b">
        <f t="shared" si="0"/>
        <v>0</v>
      </c>
      <c r="J8" s="89" t="b">
        <f t="shared" si="0"/>
        <v>0</v>
      </c>
      <c r="K8" s="89" t="b">
        <f t="shared" si="0"/>
        <v>0</v>
      </c>
      <c r="M8" s="149"/>
      <c r="N8" s="106" t="s">
        <v>112</v>
      </c>
      <c r="O8" s="85"/>
      <c r="P8" s="85"/>
      <c r="Q8" s="85"/>
      <c r="R8" s="85"/>
      <c r="S8" s="85"/>
      <c r="T8" s="85"/>
      <c r="U8" s="85"/>
      <c r="V8" s="85"/>
      <c r="W8" s="85"/>
      <c r="X8" s="85"/>
    </row>
    <row r="9" spans="1:24" x14ac:dyDescent="0.25">
      <c r="A9" s="143"/>
      <c r="B9" s="89" t="b">
        <f t="shared" ref="B9:K9" si="1">NOT(AND(BothOrNeither($M8,O9),IsValidOldestPendingDays(O9,N9,O8)))</f>
        <v>0</v>
      </c>
      <c r="C9" s="89" t="b">
        <f t="shared" si="1"/>
        <v>0</v>
      </c>
      <c r="D9" s="89" t="b">
        <f t="shared" si="1"/>
        <v>0</v>
      </c>
      <c r="E9" s="89" t="b">
        <f t="shared" si="1"/>
        <v>0</v>
      </c>
      <c r="F9" s="89" t="b">
        <f t="shared" si="1"/>
        <v>0</v>
      </c>
      <c r="G9" s="89" t="b">
        <f t="shared" si="1"/>
        <v>0</v>
      </c>
      <c r="H9" s="89" t="b">
        <f t="shared" si="1"/>
        <v>0</v>
      </c>
      <c r="I9" s="89" t="b">
        <f t="shared" si="1"/>
        <v>0</v>
      </c>
      <c r="J9" s="89" t="b">
        <f t="shared" si="1"/>
        <v>0</v>
      </c>
      <c r="K9" s="89" t="b">
        <f t="shared" si="1"/>
        <v>0</v>
      </c>
      <c r="M9" s="150"/>
      <c r="N9" s="106" t="s">
        <v>113</v>
      </c>
      <c r="O9" s="86"/>
      <c r="P9" s="86"/>
      <c r="Q9" s="86"/>
      <c r="R9" s="86"/>
      <c r="S9" s="86"/>
      <c r="T9" s="86"/>
      <c r="U9" s="86"/>
      <c r="V9" s="86"/>
      <c r="W9" s="86"/>
      <c r="X9" s="86"/>
    </row>
    <row r="10" spans="1:24" x14ac:dyDescent="0.25">
      <c r="A10" s="143" t="b">
        <f>FALSE</f>
        <v>0</v>
      </c>
      <c r="B10" s="42" t="b">
        <f>NOT(IsValidOldestDate(O10,N10))</f>
        <v>0</v>
      </c>
      <c r="C10" s="89" t="b">
        <f t="shared" ref="C10:K10" si="2">NOT(IsValidOldestDate(P10,O10))</f>
        <v>0</v>
      </c>
      <c r="D10" s="89" t="b">
        <f t="shared" si="2"/>
        <v>0</v>
      </c>
      <c r="E10" s="89" t="b">
        <f t="shared" si="2"/>
        <v>0</v>
      </c>
      <c r="F10" s="89" t="b">
        <f t="shared" si="2"/>
        <v>0</v>
      </c>
      <c r="G10" s="89" t="b">
        <f t="shared" si="2"/>
        <v>0</v>
      </c>
      <c r="H10" s="89" t="b">
        <f t="shared" si="2"/>
        <v>0</v>
      </c>
      <c r="I10" s="89" t="b">
        <f t="shared" si="2"/>
        <v>0</v>
      </c>
      <c r="J10" s="89" t="b">
        <f t="shared" si="2"/>
        <v>0</v>
      </c>
      <c r="K10" s="89" t="b">
        <f t="shared" si="2"/>
        <v>0</v>
      </c>
      <c r="M10" s="138" t="s">
        <v>48</v>
      </c>
      <c r="N10" s="1" t="s">
        <v>112</v>
      </c>
      <c r="O10" s="85"/>
      <c r="P10" s="85"/>
      <c r="Q10" s="85"/>
      <c r="R10" s="85"/>
      <c r="S10" s="85"/>
      <c r="T10" s="85"/>
      <c r="U10" s="85"/>
      <c r="V10" s="85"/>
      <c r="W10" s="85"/>
      <c r="X10" s="85"/>
    </row>
    <row r="11" spans="1:24" x14ac:dyDescent="0.25">
      <c r="A11" s="143"/>
      <c r="B11" s="42" t="b">
        <f>NOT(IsValidOldestPendingDays(O11,N11,O10))</f>
        <v>0</v>
      </c>
      <c r="C11" s="89" t="b">
        <f t="shared" ref="C11:K11" si="3">NOT(IsValidOldestPendingDays(P11,O11,P10))</f>
        <v>0</v>
      </c>
      <c r="D11" s="89" t="b">
        <f t="shared" si="3"/>
        <v>0</v>
      </c>
      <c r="E11" s="89" t="b">
        <f t="shared" si="3"/>
        <v>0</v>
      </c>
      <c r="F11" s="89" t="b">
        <f t="shared" si="3"/>
        <v>0</v>
      </c>
      <c r="G11" s="89" t="b">
        <f t="shared" si="3"/>
        <v>0</v>
      </c>
      <c r="H11" s="89" t="b">
        <f t="shared" si="3"/>
        <v>0</v>
      </c>
      <c r="I11" s="89" t="b">
        <f t="shared" si="3"/>
        <v>0</v>
      </c>
      <c r="J11" s="89" t="b">
        <f t="shared" si="3"/>
        <v>0</v>
      </c>
      <c r="K11" s="89" t="b">
        <f t="shared" si="3"/>
        <v>0</v>
      </c>
      <c r="M11" s="139"/>
      <c r="N11" s="1" t="s">
        <v>113</v>
      </c>
      <c r="O11" s="86"/>
      <c r="P11" s="86"/>
      <c r="Q11" s="86"/>
      <c r="R11" s="86"/>
      <c r="S11" s="86"/>
      <c r="T11" s="86"/>
      <c r="U11" s="86"/>
      <c r="V11" s="86"/>
      <c r="W11" s="86"/>
      <c r="X11" s="86"/>
    </row>
    <row r="12" spans="1:24" x14ac:dyDescent="0.25">
      <c r="A12" s="15" t="b">
        <f>OR(A8:K11)</f>
        <v>0</v>
      </c>
    </row>
    <row r="14" spans="1:24" ht="18.75" x14ac:dyDescent="0.3">
      <c r="M14" s="41" t="s">
        <v>30</v>
      </c>
      <c r="N14" s="10"/>
    </row>
    <row r="15" spans="1:24" x14ac:dyDescent="0.25">
      <c r="M15" s="148"/>
      <c r="N15" s="148"/>
      <c r="O15" s="148"/>
      <c r="P15" s="148"/>
      <c r="Q15" s="148"/>
      <c r="R15" s="148"/>
      <c r="S15" s="148"/>
      <c r="T15" s="148"/>
      <c r="U15" s="148"/>
      <c r="V15" s="148"/>
      <c r="W15" s="148"/>
      <c r="X15" s="148"/>
    </row>
    <row r="16" spans="1:24" ht="15" customHeight="1" x14ac:dyDescent="0.25">
      <c r="M16" s="122"/>
      <c r="N16" s="123"/>
      <c r="O16" s="123"/>
      <c r="P16" s="123"/>
      <c r="Q16" s="123"/>
      <c r="R16" s="123"/>
      <c r="S16" s="123"/>
      <c r="T16" s="123"/>
      <c r="U16" s="123"/>
      <c r="V16" s="123"/>
      <c r="W16" s="123"/>
      <c r="X16" s="124"/>
    </row>
    <row r="17" spans="13:24" ht="15" customHeight="1" x14ac:dyDescent="0.25">
      <c r="M17" s="122"/>
      <c r="N17" s="123"/>
      <c r="O17" s="123"/>
      <c r="P17" s="123"/>
      <c r="Q17" s="123"/>
      <c r="R17" s="123"/>
      <c r="S17" s="123"/>
      <c r="T17" s="123"/>
      <c r="U17" s="123"/>
      <c r="V17" s="123"/>
      <c r="W17" s="123"/>
      <c r="X17" s="124"/>
    </row>
    <row r="18" spans="13:24" x14ac:dyDescent="0.25">
      <c r="M18" s="148"/>
      <c r="N18" s="148"/>
      <c r="O18" s="148"/>
      <c r="P18" s="148"/>
      <c r="Q18" s="148"/>
      <c r="R18" s="148"/>
      <c r="S18" s="148"/>
      <c r="T18" s="148"/>
      <c r="U18" s="148"/>
      <c r="V18" s="148"/>
      <c r="W18" s="148"/>
      <c r="X18" s="148"/>
    </row>
  </sheetData>
  <sheetProtection sheet="1" objects="1" scenarios="1" selectLockedCells="1"/>
  <mergeCells count="10">
    <mergeCell ref="A8:A9"/>
    <mergeCell ref="A10:A11"/>
    <mergeCell ref="M3:X3"/>
    <mergeCell ref="M16:X16"/>
    <mergeCell ref="M15:X15"/>
    <mergeCell ref="M17:X17"/>
    <mergeCell ref="M18:X18"/>
    <mergeCell ref="M5:R5"/>
    <mergeCell ref="M10:M11"/>
    <mergeCell ref="M8:M9"/>
  </mergeCells>
  <conditionalFormatting sqref="O8:X11">
    <cfRule type="expression" dxfId="24" priority="2" stopIfTrue="1">
      <formula>B8</formula>
    </cfRule>
  </conditionalFormatting>
  <conditionalFormatting sqref="M8:M9">
    <cfRule type="expression" dxfId="23" priority="1" stopIfTrue="1">
      <formula>A8</formula>
    </cfRule>
  </conditionalFormatting>
  <dataValidations count="1">
    <dataValidation type="list" showErrorMessage="1" error="Please choose or enter a component abbreviation set up on the Agency Information worksheet." sqref="M8:M9">
      <formula1>ComponentAbbrevNoAgency</formula1>
    </dataValidation>
  </dataValidations>
  <pageMargins left="0.7" right="0.7" top="0.75" bottom="0.75" header="0.3" footer="0.3"/>
  <pageSetup orientation="portrait" horizont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ProcessedResponseTime"/>
  <dimension ref="A1:AG18"/>
  <sheetViews>
    <sheetView showRowColHeaders="0" topLeftCell="N2" workbookViewId="0">
      <selection activeCell="O9" sqref="O9"/>
    </sheetView>
  </sheetViews>
  <sheetFormatPr defaultRowHeight="15" x14ac:dyDescent="0.25"/>
  <cols>
    <col min="1" max="1" width="11.5703125" style="15" hidden="1" customWidth="1"/>
    <col min="2" max="13" width="7.7109375" style="66" hidden="1" customWidth="1"/>
    <col min="14" max="14" width="3.7109375" style="15" customWidth="1"/>
    <col min="15" max="15" width="15.7109375" style="15" customWidth="1"/>
    <col min="16" max="27" width="8.7109375" style="15" customWidth="1"/>
    <col min="28" max="16384" width="9.140625" style="15"/>
  </cols>
  <sheetData>
    <row r="1" spans="1:33" s="44" customFormat="1" ht="30" hidden="1" x14ac:dyDescent="0.25">
      <c r="A1" s="44" t="s">
        <v>69</v>
      </c>
      <c r="B1" s="82"/>
      <c r="C1" s="82"/>
      <c r="D1" s="82"/>
      <c r="E1" s="82"/>
      <c r="F1" s="82"/>
      <c r="G1" s="82"/>
      <c r="H1" s="82"/>
      <c r="I1" s="82"/>
      <c r="J1" s="82"/>
      <c r="K1" s="82"/>
      <c r="L1" s="82"/>
      <c r="M1" s="82"/>
    </row>
    <row r="2" spans="1:33" s="82" customFormat="1" ht="9.9499999999999993" customHeight="1" x14ac:dyDescent="0.25"/>
    <row r="3" spans="1:33" s="82" customFormat="1" ht="55.5" customHeight="1" x14ac:dyDescent="0.25">
      <c r="O3" s="115" t="s">
        <v>254</v>
      </c>
      <c r="P3" s="115"/>
      <c r="Q3" s="115"/>
      <c r="R3" s="115"/>
      <c r="S3" s="115"/>
      <c r="T3" s="115"/>
      <c r="U3" s="115"/>
      <c r="V3" s="115"/>
      <c r="W3" s="115"/>
      <c r="X3" s="115"/>
      <c r="Y3" s="115"/>
      <c r="Z3" s="115"/>
      <c r="AA3" s="115"/>
    </row>
    <row r="5" spans="1:33" ht="18.75" x14ac:dyDescent="0.3">
      <c r="O5" s="129" t="s">
        <v>129</v>
      </c>
      <c r="P5" s="129"/>
      <c r="Q5" s="129"/>
      <c r="R5" s="129"/>
      <c r="S5" s="129"/>
      <c r="T5" s="129"/>
      <c r="U5" s="129"/>
      <c r="V5" s="129"/>
      <c r="W5" s="129"/>
      <c r="X5" s="10"/>
      <c r="Y5" s="10"/>
      <c r="Z5" s="10"/>
      <c r="AA5" s="10"/>
      <c r="AB5" s="10"/>
      <c r="AC5" s="10"/>
      <c r="AD5" s="10"/>
      <c r="AE5" s="10"/>
      <c r="AF5" s="10"/>
      <c r="AG5" s="10"/>
    </row>
    <row r="7" spans="1:33" ht="30" customHeight="1" x14ac:dyDescent="0.25">
      <c r="O7" s="138" t="s">
        <v>283</v>
      </c>
      <c r="P7" s="132" t="s">
        <v>125</v>
      </c>
      <c r="Q7" s="133"/>
      <c r="R7" s="133"/>
      <c r="S7" s="134"/>
      <c r="T7" s="132" t="s">
        <v>126</v>
      </c>
      <c r="U7" s="133"/>
      <c r="V7" s="133"/>
      <c r="W7" s="134"/>
      <c r="X7" s="132" t="s">
        <v>127</v>
      </c>
      <c r="Y7" s="133"/>
      <c r="Z7" s="133"/>
      <c r="AA7" s="134"/>
    </row>
    <row r="8" spans="1:33" ht="36" x14ac:dyDescent="0.25">
      <c r="O8" s="139"/>
      <c r="P8" s="1" t="s">
        <v>97</v>
      </c>
      <c r="Q8" s="1" t="s">
        <v>128</v>
      </c>
      <c r="R8" s="1" t="s">
        <v>98</v>
      </c>
      <c r="S8" s="1" t="s">
        <v>99</v>
      </c>
      <c r="T8" s="1" t="s">
        <v>97</v>
      </c>
      <c r="U8" s="1" t="s">
        <v>128</v>
      </c>
      <c r="V8" s="1" t="s">
        <v>98</v>
      </c>
      <c r="W8" s="1" t="s">
        <v>99</v>
      </c>
      <c r="X8" s="1" t="s">
        <v>97</v>
      </c>
      <c r="Y8" s="1" t="s">
        <v>128</v>
      </c>
      <c r="Z8" s="1" t="s">
        <v>98</v>
      </c>
      <c r="AA8" s="1" t="s">
        <v>99</v>
      </c>
    </row>
    <row r="9" spans="1:33" x14ac:dyDescent="0.25">
      <c r="A9" s="15" t="b">
        <f>OR(COUNTIF($O$9:$O$11,O9)&gt;1,AND(NOT(ISBLANK(O9)),ISNA(MATCH(O9,ComponentAbbrevNoAgency,0))))</f>
        <v>0</v>
      </c>
      <c r="B9" s="66" t="b">
        <f>OR(AND(ISBLANK($O9),NOT(ISBLANK(P9))),AND(NOT(ISBLANK($O9)),NOT(IsNonNegativeDecimal(P9,FALSE,TRUE,TRUE))))</f>
        <v>0</v>
      </c>
      <c r="C9" s="66" t="b">
        <f t="shared" ref="C9:M9" si="0">OR(AND(ISBLANK($O9),NOT(ISBLANK(Q9))),AND(NOT(ISBLANK($O9)),NOT(IsNonNegativeDecimal(Q9,FALSE,TRUE,TRUE))))</f>
        <v>0</v>
      </c>
      <c r="D9" s="66" t="b">
        <f t="shared" si="0"/>
        <v>0</v>
      </c>
      <c r="E9" s="66" t="b">
        <f t="shared" si="0"/>
        <v>0</v>
      </c>
      <c r="F9" s="66" t="b">
        <f t="shared" si="0"/>
        <v>0</v>
      </c>
      <c r="G9" s="66" t="b">
        <f t="shared" si="0"/>
        <v>0</v>
      </c>
      <c r="H9" s="66" t="b">
        <f t="shared" si="0"/>
        <v>0</v>
      </c>
      <c r="I9" s="66" t="b">
        <f t="shared" si="0"/>
        <v>0</v>
      </c>
      <c r="J9" s="66" t="b">
        <f t="shared" si="0"/>
        <v>0</v>
      </c>
      <c r="K9" s="66" t="b">
        <f t="shared" si="0"/>
        <v>0</v>
      </c>
      <c r="L9" s="66" t="b">
        <f t="shared" si="0"/>
        <v>0</v>
      </c>
      <c r="M9" s="66" t="b">
        <f t="shared" si="0"/>
        <v>0</v>
      </c>
      <c r="O9" s="105"/>
      <c r="P9" s="47"/>
      <c r="Q9" s="47"/>
      <c r="R9" s="47"/>
      <c r="S9" s="47"/>
      <c r="T9" s="47"/>
      <c r="U9" s="47"/>
      <c r="V9" s="47"/>
      <c r="W9" s="47"/>
      <c r="X9" s="47"/>
      <c r="Y9" s="47"/>
      <c r="Z9" s="47"/>
      <c r="AA9" s="47"/>
    </row>
    <row r="10" spans="1:33" x14ac:dyDescent="0.25">
      <c r="A10" s="15" t="b">
        <f>OR(COUNTIF($O$9:$O$11,O10)&gt;1,AND(NOT(ISBLANK(O10)),ISNA(MATCH(O10,ComponentAbbrevNoAgency,0))))</f>
        <v>0</v>
      </c>
      <c r="B10" s="66" t="b">
        <f>OR(AND(ISBLANK($O10),NOT(ISBLANK(P10))),AND(NOT(ISBLANK($O10)),NOT(IsNonNegativeDecimal(P10,FALSE,TRUE,TRUE))))</f>
        <v>0</v>
      </c>
      <c r="C10" s="66" t="b">
        <f t="shared" ref="C10:M10" si="1">OR(AND(ISBLANK($O10),NOT(ISBLANK(Q10))),AND(NOT(ISBLANK($O10)),NOT(IsNonNegativeDecimal(Q10,FALSE,TRUE,TRUE))))</f>
        <v>0</v>
      </c>
      <c r="D10" s="66" t="b">
        <f t="shared" si="1"/>
        <v>0</v>
      </c>
      <c r="E10" s="66" t="b">
        <f t="shared" si="1"/>
        <v>0</v>
      </c>
      <c r="F10" s="66" t="b">
        <f t="shared" si="1"/>
        <v>0</v>
      </c>
      <c r="G10" s="66" t="b">
        <f t="shared" si="1"/>
        <v>0</v>
      </c>
      <c r="H10" s="66" t="b">
        <f t="shared" si="1"/>
        <v>0</v>
      </c>
      <c r="I10" s="66" t="b">
        <f t="shared" si="1"/>
        <v>0</v>
      </c>
      <c r="J10" s="66" t="b">
        <f t="shared" si="1"/>
        <v>0</v>
      </c>
      <c r="K10" s="66" t="b">
        <f t="shared" si="1"/>
        <v>0</v>
      </c>
      <c r="L10" s="66" t="b">
        <f t="shared" si="1"/>
        <v>0</v>
      </c>
      <c r="M10" s="66" t="b">
        <f t="shared" si="1"/>
        <v>0</v>
      </c>
      <c r="O10" s="105"/>
      <c r="P10" s="47"/>
      <c r="Q10" s="47"/>
      <c r="R10" s="47"/>
      <c r="S10" s="47"/>
      <c r="T10" s="47"/>
      <c r="U10" s="47"/>
      <c r="V10" s="47"/>
      <c r="W10" s="47"/>
      <c r="X10" s="47"/>
      <c r="Y10" s="47"/>
      <c r="Z10" s="47"/>
      <c r="AA10" s="47"/>
    </row>
    <row r="11" spans="1:33" x14ac:dyDescent="0.25">
      <c r="B11" s="66" t="b">
        <f>NOT(IsNonNegativeDecimal(P11,FALSE,TRUE,TRUE))</f>
        <v>1</v>
      </c>
      <c r="C11" s="66" t="b">
        <f t="shared" ref="C11:M11" si="2">NOT(IsNonNegativeDecimal(Q11,FALSE,TRUE,TRUE))</f>
        <v>1</v>
      </c>
      <c r="D11" s="66" t="b">
        <f t="shared" si="2"/>
        <v>1</v>
      </c>
      <c r="E11" s="66" t="b">
        <f t="shared" si="2"/>
        <v>1</v>
      </c>
      <c r="F11" s="66" t="b">
        <f t="shared" si="2"/>
        <v>1</v>
      </c>
      <c r="G11" s="66" t="b">
        <f t="shared" si="2"/>
        <v>1</v>
      </c>
      <c r="H11" s="66" t="b">
        <f t="shared" si="2"/>
        <v>1</v>
      </c>
      <c r="I11" s="66" t="b">
        <f t="shared" si="2"/>
        <v>1</v>
      </c>
      <c r="J11" s="66" t="b">
        <f t="shared" si="2"/>
        <v>1</v>
      </c>
      <c r="K11" s="66" t="b">
        <f t="shared" si="2"/>
        <v>1</v>
      </c>
      <c r="L11" s="66" t="b">
        <f t="shared" si="2"/>
        <v>1</v>
      </c>
      <c r="M11" s="66" t="b">
        <f t="shared" si="2"/>
        <v>1</v>
      </c>
      <c r="O11" s="1" t="s">
        <v>48</v>
      </c>
      <c r="P11" s="47"/>
      <c r="Q11" s="47"/>
      <c r="R11" s="47"/>
      <c r="S11" s="47"/>
      <c r="T11" s="47"/>
      <c r="U11" s="47"/>
      <c r="V11" s="47"/>
      <c r="W11" s="47"/>
      <c r="X11" s="47"/>
      <c r="Y11" s="47"/>
      <c r="Z11" s="47"/>
      <c r="AA11" s="47"/>
    </row>
    <row r="12" spans="1:33" x14ac:dyDescent="0.25">
      <c r="A12" s="15" t="b">
        <f>OR(A9:M11)</f>
        <v>1</v>
      </c>
    </row>
    <row r="13" spans="1:33" s="66" customFormat="1" x14ac:dyDescent="0.25"/>
    <row r="14" spans="1:33" ht="15.75" x14ac:dyDescent="0.25">
      <c r="O14" s="45" t="s">
        <v>30</v>
      </c>
    </row>
    <row r="15" spans="1:33" x14ac:dyDescent="0.25">
      <c r="O15" s="148"/>
      <c r="P15" s="148"/>
      <c r="Q15" s="148"/>
      <c r="R15" s="148"/>
      <c r="S15" s="148"/>
      <c r="T15" s="148"/>
      <c r="U15" s="148"/>
      <c r="V15" s="148"/>
      <c r="W15" s="148"/>
      <c r="X15" s="148"/>
      <c r="Y15" s="148"/>
      <c r="Z15" s="148"/>
      <c r="AA15" s="148"/>
    </row>
    <row r="16" spans="1:33" ht="15" customHeight="1" x14ac:dyDescent="0.25">
      <c r="O16" s="122"/>
      <c r="P16" s="123"/>
      <c r="Q16" s="123"/>
      <c r="R16" s="123"/>
      <c r="S16" s="123"/>
      <c r="T16" s="123"/>
      <c r="U16" s="123"/>
      <c r="V16" s="123"/>
      <c r="W16" s="123"/>
      <c r="X16" s="123"/>
      <c r="Y16" s="123"/>
      <c r="Z16" s="123"/>
      <c r="AA16" s="124"/>
    </row>
    <row r="17" spans="15:27" ht="15" customHeight="1" x14ac:dyDescent="0.25">
      <c r="O17" s="122"/>
      <c r="P17" s="123"/>
      <c r="Q17" s="123"/>
      <c r="R17" s="123"/>
      <c r="S17" s="123"/>
      <c r="T17" s="123"/>
      <c r="U17" s="123"/>
      <c r="V17" s="123"/>
      <c r="W17" s="123"/>
      <c r="X17" s="123"/>
      <c r="Y17" s="123"/>
      <c r="Z17" s="123"/>
      <c r="AA17" s="124"/>
    </row>
    <row r="18" spans="15:27" x14ac:dyDescent="0.25">
      <c r="O18" s="148"/>
      <c r="P18" s="148"/>
      <c r="Q18" s="148"/>
      <c r="R18" s="148"/>
      <c r="S18" s="148"/>
      <c r="T18" s="148"/>
      <c r="U18" s="148"/>
      <c r="V18" s="148"/>
      <c r="W18" s="148"/>
      <c r="X18" s="148"/>
      <c r="Y18" s="148"/>
      <c r="Z18" s="148"/>
      <c r="AA18" s="148"/>
    </row>
  </sheetData>
  <sheetProtection sheet="1" objects="1" scenarios="1" selectLockedCells="1"/>
  <mergeCells count="10">
    <mergeCell ref="O15:AA15"/>
    <mergeCell ref="O16:AA16"/>
    <mergeCell ref="O17:AA17"/>
    <mergeCell ref="O18:AA18"/>
    <mergeCell ref="O3:AA3"/>
    <mergeCell ref="P7:S7"/>
    <mergeCell ref="T7:W7"/>
    <mergeCell ref="X7:AA7"/>
    <mergeCell ref="O7:O8"/>
    <mergeCell ref="O5:W5"/>
  </mergeCells>
  <conditionalFormatting sqref="O9:O10 P9:AA11">
    <cfRule type="expression" dxfId="22" priority="2" stopIfTrue="1">
      <formula>A9</formula>
    </cfRule>
  </conditionalFormatting>
  <dataValidations count="2">
    <dataValidation type="list" showErrorMessage="1" error="Please choose or enter a component abbreviation set up on the Agency Information worksheet." sqref="O9:O10">
      <formula1>ComponentAbbrevNoAgency</formula1>
    </dataValidation>
    <dataValidation operator="greaterThanOrEqual" allowBlank="1" error="Please enter a non-negative numeric value, or one of the special values &quot;&lt;1&quot; or &quot;N/A&quot;." sqref="P9:AA11"/>
  </dataValidations>
  <pageMargins left="0.7" right="0.7" top="0.75" bottom="0.75" header="0.3" footer="0.3"/>
  <pageSetup orientation="portrait" horizont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InfoGrantedResponseTime"/>
  <dimension ref="A1:AG18"/>
  <sheetViews>
    <sheetView showRowColHeaders="0" topLeftCell="N2" workbookViewId="0">
      <selection activeCell="O9" sqref="O9"/>
    </sheetView>
  </sheetViews>
  <sheetFormatPr defaultRowHeight="15" x14ac:dyDescent="0.25"/>
  <cols>
    <col min="1" max="1" width="11.5703125" style="15" hidden="1" customWidth="1"/>
    <col min="2" max="13" width="7.7109375" style="66" hidden="1" customWidth="1"/>
    <col min="14" max="14" width="3.7109375" style="15" customWidth="1"/>
    <col min="15" max="15" width="15.7109375" style="15" customWidth="1"/>
    <col min="16" max="27" width="8.7109375" style="15" customWidth="1"/>
    <col min="28" max="16384" width="9.140625" style="15"/>
  </cols>
  <sheetData>
    <row r="1" spans="1:33" s="44" customFormat="1" ht="30" hidden="1" x14ac:dyDescent="0.25">
      <c r="A1" s="44" t="s">
        <v>69</v>
      </c>
      <c r="B1" s="82"/>
      <c r="C1" s="82"/>
      <c r="D1" s="82"/>
      <c r="E1" s="82"/>
      <c r="F1" s="82"/>
      <c r="G1" s="82"/>
      <c r="H1" s="82"/>
      <c r="I1" s="82"/>
      <c r="J1" s="82"/>
      <c r="K1" s="82"/>
      <c r="L1" s="82"/>
      <c r="M1" s="82"/>
    </row>
    <row r="2" spans="1:33" s="82" customFormat="1" ht="9.9499999999999993" customHeight="1" x14ac:dyDescent="0.25"/>
    <row r="3" spans="1:33" s="82" customFormat="1" ht="54.75" customHeight="1" x14ac:dyDescent="0.25">
      <c r="O3" s="115" t="s">
        <v>255</v>
      </c>
      <c r="P3" s="115"/>
      <c r="Q3" s="115"/>
      <c r="R3" s="115"/>
      <c r="S3" s="115"/>
      <c r="T3" s="115"/>
      <c r="U3" s="115"/>
      <c r="V3" s="115"/>
      <c r="W3" s="115"/>
      <c r="X3" s="115"/>
      <c r="Y3" s="115"/>
      <c r="Z3" s="115"/>
      <c r="AA3" s="115"/>
    </row>
    <row r="5" spans="1:33" ht="18.75" x14ac:dyDescent="0.3">
      <c r="O5" s="129" t="s">
        <v>131</v>
      </c>
      <c r="P5" s="129"/>
      <c r="Q5" s="129"/>
      <c r="R5" s="129"/>
      <c r="S5" s="129"/>
      <c r="T5" s="129"/>
      <c r="U5" s="129"/>
      <c r="V5" s="129"/>
      <c r="W5" s="129"/>
      <c r="X5" s="129"/>
      <c r="Y5" s="129"/>
      <c r="Z5" s="10"/>
      <c r="AA5" s="10"/>
      <c r="AB5" s="10"/>
      <c r="AC5" s="10"/>
      <c r="AD5" s="10"/>
      <c r="AE5" s="10"/>
      <c r="AF5" s="10"/>
      <c r="AG5" s="10"/>
    </row>
    <row r="7" spans="1:33" ht="30" customHeight="1" x14ac:dyDescent="0.25">
      <c r="O7" s="138" t="s">
        <v>283</v>
      </c>
      <c r="P7" s="132" t="s">
        <v>125</v>
      </c>
      <c r="Q7" s="133"/>
      <c r="R7" s="133"/>
      <c r="S7" s="134"/>
      <c r="T7" s="132" t="s">
        <v>126</v>
      </c>
      <c r="U7" s="133"/>
      <c r="V7" s="133"/>
      <c r="W7" s="134"/>
      <c r="X7" s="132" t="s">
        <v>127</v>
      </c>
      <c r="Y7" s="133"/>
      <c r="Z7" s="133"/>
      <c r="AA7" s="134"/>
    </row>
    <row r="8" spans="1:33" ht="36" x14ac:dyDescent="0.25">
      <c r="O8" s="139"/>
      <c r="P8" s="1" t="s">
        <v>97</v>
      </c>
      <c r="Q8" s="1" t="s">
        <v>128</v>
      </c>
      <c r="R8" s="1" t="s">
        <v>98</v>
      </c>
      <c r="S8" s="1" t="s">
        <v>99</v>
      </c>
      <c r="T8" s="1" t="s">
        <v>97</v>
      </c>
      <c r="U8" s="1" t="s">
        <v>128</v>
      </c>
      <c r="V8" s="1" t="s">
        <v>98</v>
      </c>
      <c r="W8" s="1" t="s">
        <v>99</v>
      </c>
      <c r="X8" s="1" t="s">
        <v>97</v>
      </c>
      <c r="Y8" s="1" t="s">
        <v>128</v>
      </c>
      <c r="Z8" s="1" t="s">
        <v>98</v>
      </c>
      <c r="AA8" s="1" t="s">
        <v>99</v>
      </c>
    </row>
    <row r="9" spans="1:33" x14ac:dyDescent="0.25">
      <c r="A9" s="15" t="b">
        <f>OR(COUNTIF($O$9:$O$11,O9)&gt;1,AND(NOT(ISBLANK(O9)),ISNA(MATCH(O9,ComponentAbbrevNoAgency,0))))</f>
        <v>0</v>
      </c>
      <c r="B9" s="66" t="b">
        <f>OR(AND(ISBLANK($O9),NOT(ISBLANK(P9))),AND(NOT(ISBLANK($O9)),NOT(IsNonNegativeDecimal(P9,FALSE,TRUE,TRUE))))</f>
        <v>0</v>
      </c>
      <c r="C9" s="66" t="b">
        <f t="shared" ref="C9:M9" si="0">OR(AND(ISBLANK($O9),NOT(ISBLANK(Q9))),AND(NOT(ISBLANK($O9)),NOT(IsNonNegativeDecimal(Q9,FALSE,TRUE,TRUE))))</f>
        <v>0</v>
      </c>
      <c r="D9" s="66" t="b">
        <f t="shared" si="0"/>
        <v>0</v>
      </c>
      <c r="E9" s="66" t="b">
        <f t="shared" si="0"/>
        <v>0</v>
      </c>
      <c r="F9" s="66" t="b">
        <f t="shared" si="0"/>
        <v>0</v>
      </c>
      <c r="G9" s="66" t="b">
        <f t="shared" si="0"/>
        <v>0</v>
      </c>
      <c r="H9" s="66" t="b">
        <f t="shared" si="0"/>
        <v>0</v>
      </c>
      <c r="I9" s="66" t="b">
        <f t="shared" si="0"/>
        <v>0</v>
      </c>
      <c r="J9" s="66" t="b">
        <f t="shared" si="0"/>
        <v>0</v>
      </c>
      <c r="K9" s="66" t="b">
        <f t="shared" si="0"/>
        <v>0</v>
      </c>
      <c r="L9" s="66" t="b">
        <f t="shared" si="0"/>
        <v>0</v>
      </c>
      <c r="M9" s="66" t="b">
        <f t="shared" si="0"/>
        <v>0</v>
      </c>
      <c r="O9" s="105"/>
      <c r="P9" s="47"/>
      <c r="Q9" s="47"/>
      <c r="R9" s="47"/>
      <c r="S9" s="47"/>
      <c r="T9" s="47"/>
      <c r="U9" s="47"/>
      <c r="V9" s="47"/>
      <c r="W9" s="47"/>
      <c r="X9" s="47"/>
      <c r="Y9" s="47"/>
      <c r="Z9" s="47"/>
      <c r="AA9" s="47"/>
    </row>
    <row r="10" spans="1:33" x14ac:dyDescent="0.25">
      <c r="A10" s="15" t="b">
        <f>OR(COUNTIF($O$9:$O$11,O10)&gt;1,AND(NOT(ISBLANK(O10)),ISNA(MATCH(O10,ComponentAbbrevNoAgency,0))))</f>
        <v>0</v>
      </c>
      <c r="B10" s="66" t="b">
        <f>OR(AND(ISBLANK($O10),NOT(ISBLANK(P10))),AND(NOT(ISBLANK($O10)),NOT(IsNonNegativeDecimal(P10,FALSE,TRUE,TRUE))))</f>
        <v>0</v>
      </c>
      <c r="C10" s="66" t="b">
        <f t="shared" ref="C10:M11" si="1">OR(AND(ISBLANK($O10),NOT(ISBLANK(Q10))),AND(NOT(ISBLANK($O10)),NOT(IsNonNegativeDecimal(Q10,FALSE,TRUE,TRUE))))</f>
        <v>0</v>
      </c>
      <c r="D10" s="66" t="b">
        <f t="shared" si="1"/>
        <v>0</v>
      </c>
      <c r="E10" s="66" t="b">
        <f t="shared" si="1"/>
        <v>0</v>
      </c>
      <c r="F10" s="66" t="b">
        <f t="shared" si="1"/>
        <v>0</v>
      </c>
      <c r="G10" s="66" t="b">
        <f t="shared" si="1"/>
        <v>0</v>
      </c>
      <c r="H10" s="66" t="b">
        <f t="shared" si="1"/>
        <v>0</v>
      </c>
      <c r="I10" s="66" t="b">
        <f t="shared" si="1"/>
        <v>0</v>
      </c>
      <c r="J10" s="66" t="b">
        <f t="shared" si="1"/>
        <v>0</v>
      </c>
      <c r="K10" s="66" t="b">
        <f t="shared" si="1"/>
        <v>0</v>
      </c>
      <c r="L10" s="66" t="b">
        <f t="shared" si="1"/>
        <v>0</v>
      </c>
      <c r="M10" s="66" t="b">
        <f t="shared" si="1"/>
        <v>0</v>
      </c>
      <c r="O10" s="105"/>
      <c r="P10" s="47"/>
      <c r="Q10" s="47"/>
      <c r="R10" s="47"/>
      <c r="S10" s="47"/>
      <c r="T10" s="47"/>
      <c r="U10" s="47"/>
      <c r="V10" s="47"/>
      <c r="W10" s="47"/>
      <c r="X10" s="47"/>
      <c r="Y10" s="47"/>
      <c r="Z10" s="47"/>
      <c r="AA10" s="47"/>
    </row>
    <row r="11" spans="1:33" x14ac:dyDescent="0.25">
      <c r="B11" s="66" t="b">
        <f>OR(AND(ISBLANK($O11),NOT(ISBLANK(P11))),AND(NOT(ISBLANK($O11)),NOT(IsNonNegativeDecimal(P11,FALSE,TRUE,TRUE))))</f>
        <v>1</v>
      </c>
      <c r="C11" s="66" t="b">
        <f t="shared" si="1"/>
        <v>1</v>
      </c>
      <c r="D11" s="66" t="b">
        <f t="shared" si="1"/>
        <v>1</v>
      </c>
      <c r="E11" s="66" t="b">
        <f t="shared" si="1"/>
        <v>1</v>
      </c>
      <c r="F11" s="66" t="b">
        <f t="shared" si="1"/>
        <v>1</v>
      </c>
      <c r="G11" s="66" t="b">
        <f t="shared" si="1"/>
        <v>1</v>
      </c>
      <c r="H11" s="66" t="b">
        <f t="shared" si="1"/>
        <v>1</v>
      </c>
      <c r="I11" s="66" t="b">
        <f t="shared" si="1"/>
        <v>1</v>
      </c>
      <c r="J11" s="66" t="b">
        <f t="shared" si="1"/>
        <v>1</v>
      </c>
      <c r="K11" s="66" t="b">
        <f t="shared" si="1"/>
        <v>1</v>
      </c>
      <c r="L11" s="66" t="b">
        <f t="shared" si="1"/>
        <v>1</v>
      </c>
      <c r="M11" s="66" t="b">
        <f t="shared" si="1"/>
        <v>1</v>
      </c>
      <c r="O11" s="1" t="s">
        <v>48</v>
      </c>
      <c r="P11" s="47"/>
      <c r="Q11" s="47"/>
      <c r="R11" s="47"/>
      <c r="S11" s="47"/>
      <c r="T11" s="47"/>
      <c r="U11" s="47"/>
      <c r="V11" s="47"/>
      <c r="W11" s="47"/>
      <c r="X11" s="47"/>
      <c r="Y11" s="47"/>
      <c r="Z11" s="47"/>
      <c r="AA11" s="47"/>
    </row>
    <row r="12" spans="1:33" x14ac:dyDescent="0.25">
      <c r="A12" s="15" t="b">
        <f>OR(A9:M11)</f>
        <v>1</v>
      </c>
    </row>
    <row r="13" spans="1:33" s="66" customFormat="1" x14ac:dyDescent="0.25"/>
    <row r="14" spans="1:33" ht="15.75" x14ac:dyDescent="0.25">
      <c r="O14" s="46" t="s">
        <v>30</v>
      </c>
    </row>
    <row r="15" spans="1:33" x14ac:dyDescent="0.25">
      <c r="O15" s="148"/>
      <c r="P15" s="148"/>
      <c r="Q15" s="148"/>
      <c r="R15" s="148"/>
      <c r="S15" s="148"/>
      <c r="T15" s="148"/>
      <c r="U15" s="148"/>
      <c r="V15" s="148"/>
      <c r="W15" s="148"/>
      <c r="X15" s="148"/>
      <c r="Y15" s="148"/>
      <c r="Z15" s="148"/>
      <c r="AA15" s="148"/>
    </row>
    <row r="16" spans="1:33" ht="15" customHeight="1" x14ac:dyDescent="0.25">
      <c r="O16" s="122"/>
      <c r="P16" s="123"/>
      <c r="Q16" s="123"/>
      <c r="R16" s="123"/>
      <c r="S16" s="123"/>
      <c r="T16" s="123"/>
      <c r="U16" s="123"/>
      <c r="V16" s="123"/>
      <c r="W16" s="123"/>
      <c r="X16" s="123"/>
      <c r="Y16" s="123"/>
      <c r="Z16" s="123"/>
      <c r="AA16" s="124"/>
    </row>
    <row r="17" spans="15:27" ht="15" customHeight="1" x14ac:dyDescent="0.25">
      <c r="O17" s="122"/>
      <c r="P17" s="123"/>
      <c r="Q17" s="123"/>
      <c r="R17" s="123"/>
      <c r="S17" s="123"/>
      <c r="T17" s="123"/>
      <c r="U17" s="123"/>
      <c r="V17" s="123"/>
      <c r="W17" s="123"/>
      <c r="X17" s="123"/>
      <c r="Y17" s="123"/>
      <c r="Z17" s="123"/>
      <c r="AA17" s="124"/>
    </row>
    <row r="18" spans="15:27" x14ac:dyDescent="0.25">
      <c r="O18" s="148"/>
      <c r="P18" s="148"/>
      <c r="Q18" s="148"/>
      <c r="R18" s="148"/>
      <c r="S18" s="148"/>
      <c r="T18" s="148"/>
      <c r="U18" s="148"/>
      <c r="V18" s="148"/>
      <c r="W18" s="148"/>
      <c r="X18" s="148"/>
      <c r="Y18" s="148"/>
      <c r="Z18" s="148"/>
      <c r="AA18" s="148"/>
    </row>
  </sheetData>
  <sheetProtection sheet="1" objects="1" scenarios="1" selectLockedCells="1"/>
  <mergeCells count="10">
    <mergeCell ref="O3:AA3"/>
    <mergeCell ref="O15:AA15"/>
    <mergeCell ref="O16:AA16"/>
    <mergeCell ref="O17:AA17"/>
    <mergeCell ref="O18:AA18"/>
    <mergeCell ref="X7:AA7"/>
    <mergeCell ref="O7:O8"/>
    <mergeCell ref="P7:S7"/>
    <mergeCell ref="T7:W7"/>
    <mergeCell ref="O5:Y5"/>
  </mergeCells>
  <conditionalFormatting sqref="O9:O10 P9:AA11">
    <cfRule type="expression" dxfId="21" priority="1" stopIfTrue="1">
      <formula>A9</formula>
    </cfRule>
  </conditionalFormatting>
  <dataValidations count="2">
    <dataValidation type="list" showErrorMessage="1" error="Please choose or enter a component abbreviation set up on the Agency Information worksheet." sqref="O9:O10">
      <formula1>ComponentAbbrevNoAgency</formula1>
    </dataValidation>
    <dataValidation operator="greaterThanOrEqual" allowBlank="1" error="Please enter a non-negative numeric value." sqref="P9:AA11"/>
  </dataValidations>
  <pageMargins left="0.7" right="0.7" top="0.75" bottom="0.75" header="0.3" footer="0.3"/>
  <pageSetup orientation="portrait" horizont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SimpleTimeIncrements"/>
  <dimension ref="A1:AD17"/>
  <sheetViews>
    <sheetView showRowColHeaders="0" topLeftCell="O2" workbookViewId="0">
      <selection activeCell="P8" sqref="P8"/>
    </sheetView>
  </sheetViews>
  <sheetFormatPr defaultRowHeight="15" x14ac:dyDescent="0.25"/>
  <cols>
    <col min="1" max="1" width="10.7109375" style="15" hidden="1" customWidth="1"/>
    <col min="2" max="2" width="8.7109375" style="15" hidden="1" customWidth="1"/>
    <col min="3" max="14" width="8.7109375" style="66" hidden="1" customWidth="1"/>
    <col min="15" max="15" width="3.7109375" style="15" customWidth="1"/>
    <col min="16" max="16" width="15.7109375" style="15" customWidth="1"/>
    <col min="17" max="30" width="7.7109375" style="15" customWidth="1"/>
    <col min="31" max="16384" width="9.140625" style="15"/>
  </cols>
  <sheetData>
    <row r="1" spans="1:30" s="44" customFormat="1" ht="30" hidden="1" x14ac:dyDescent="0.25">
      <c r="A1" s="44" t="s">
        <v>19</v>
      </c>
      <c r="C1" s="82"/>
      <c r="D1" s="82"/>
      <c r="E1" s="82"/>
      <c r="F1" s="82"/>
      <c r="G1" s="82"/>
      <c r="H1" s="82"/>
      <c r="I1" s="82"/>
      <c r="J1" s="82"/>
      <c r="K1" s="82"/>
      <c r="L1" s="82"/>
      <c r="M1" s="82"/>
      <c r="N1" s="82"/>
    </row>
    <row r="2" spans="1:30" s="82" customFormat="1" ht="9.9499999999999993" customHeight="1" x14ac:dyDescent="0.25"/>
    <row r="3" spans="1:30" s="82" customFormat="1" ht="16.5" customHeight="1" x14ac:dyDescent="0.25">
      <c r="P3" s="115" t="s">
        <v>240</v>
      </c>
      <c r="Q3" s="115"/>
      <c r="R3" s="115"/>
      <c r="S3" s="115"/>
      <c r="T3" s="115"/>
      <c r="U3" s="115"/>
      <c r="V3" s="115"/>
      <c r="W3" s="115"/>
      <c r="X3" s="115"/>
      <c r="Y3" s="115"/>
      <c r="Z3" s="115"/>
      <c r="AA3" s="115"/>
      <c r="AB3" s="115"/>
      <c r="AC3" s="115"/>
      <c r="AD3" s="115"/>
    </row>
    <row r="5" spans="1:30" ht="18.75" customHeight="1" x14ac:dyDescent="0.25">
      <c r="P5" s="129" t="s">
        <v>132</v>
      </c>
      <c r="Q5" s="129"/>
      <c r="R5" s="129"/>
      <c r="S5" s="129"/>
      <c r="T5" s="129"/>
      <c r="U5" s="129"/>
      <c r="V5" s="129"/>
      <c r="W5" s="129"/>
      <c r="X5" s="129"/>
      <c r="Y5" s="129"/>
    </row>
    <row r="7" spans="1:30" ht="24" x14ac:dyDescent="0.25">
      <c r="P7" s="97" t="s">
        <v>283</v>
      </c>
      <c r="Q7" s="98" t="s">
        <v>289</v>
      </c>
      <c r="R7" s="98" t="s">
        <v>142</v>
      </c>
      <c r="S7" s="98" t="s">
        <v>143</v>
      </c>
      <c r="T7" s="1" t="s">
        <v>144</v>
      </c>
      <c r="U7" s="1" t="s">
        <v>133</v>
      </c>
      <c r="V7" s="1" t="s">
        <v>134</v>
      </c>
      <c r="W7" s="1" t="s">
        <v>135</v>
      </c>
      <c r="X7" s="1" t="s">
        <v>136</v>
      </c>
      <c r="Y7" s="1" t="s">
        <v>137</v>
      </c>
      <c r="Z7" s="1" t="s">
        <v>138</v>
      </c>
      <c r="AA7" s="1" t="s">
        <v>139</v>
      </c>
      <c r="AB7" s="1" t="s">
        <v>140</v>
      </c>
      <c r="AC7" s="1" t="s">
        <v>141</v>
      </c>
      <c r="AD7" s="1" t="s">
        <v>46</v>
      </c>
    </row>
    <row r="8" spans="1:30" x14ac:dyDescent="0.25">
      <c r="A8" s="15" t="b">
        <f>OR(COUNTIF($P$8:$P$10,P8)&gt;1,AND(NOT(ISBLANK(P8)),ISNA(MATCH(P8,ComponentAbbreviation,0))))</f>
        <v>0</v>
      </c>
      <c r="B8" s="66" t="b">
        <f t="shared" ref="B8:N9" si="0">OR(AND(ISBLANK($P8),NOT(ISBLANK(Q8))),AND(NOT(ISBLANK($P8)),NOT(IsNonNegativeInteger(Q8))))</f>
        <v>0</v>
      </c>
      <c r="C8" s="66" t="b">
        <f t="shared" si="0"/>
        <v>0</v>
      </c>
      <c r="D8" s="66" t="b">
        <f t="shared" si="0"/>
        <v>0</v>
      </c>
      <c r="E8" s="66" t="b">
        <f t="shared" si="0"/>
        <v>0</v>
      </c>
      <c r="F8" s="66" t="b">
        <f t="shared" si="0"/>
        <v>0</v>
      </c>
      <c r="G8" s="66" t="b">
        <f t="shared" si="0"/>
        <v>0</v>
      </c>
      <c r="H8" s="66" t="b">
        <f t="shared" si="0"/>
        <v>0</v>
      </c>
      <c r="I8" s="66" t="b">
        <f t="shared" si="0"/>
        <v>0</v>
      </c>
      <c r="J8" s="66" t="b">
        <f t="shared" si="0"/>
        <v>0</v>
      </c>
      <c r="K8" s="66" t="b">
        <f t="shared" si="0"/>
        <v>0</v>
      </c>
      <c r="L8" s="66" t="b">
        <f t="shared" si="0"/>
        <v>0</v>
      </c>
      <c r="M8" s="66" t="b">
        <f t="shared" si="0"/>
        <v>0</v>
      </c>
      <c r="N8" s="66" t="b">
        <f t="shared" si="0"/>
        <v>0</v>
      </c>
      <c r="P8" s="105" t="s">
        <v>295</v>
      </c>
      <c r="Q8" s="16">
        <v>0</v>
      </c>
      <c r="R8" s="16">
        <v>0</v>
      </c>
      <c r="S8" s="16">
        <v>0</v>
      </c>
      <c r="T8" s="16">
        <v>0</v>
      </c>
      <c r="U8" s="16">
        <v>0</v>
      </c>
      <c r="V8" s="16">
        <v>0</v>
      </c>
      <c r="W8" s="16">
        <v>0</v>
      </c>
      <c r="X8" s="16">
        <v>0</v>
      </c>
      <c r="Y8" s="16">
        <v>0</v>
      </c>
      <c r="Z8" s="16">
        <v>0</v>
      </c>
      <c r="AA8" s="16">
        <v>0</v>
      </c>
      <c r="AB8" s="16">
        <v>0</v>
      </c>
      <c r="AC8" s="16">
        <v>0</v>
      </c>
      <c r="AD8" s="17">
        <f>SUM(Q8:AC8)</f>
        <v>0</v>
      </c>
    </row>
    <row r="9" spans="1:30" x14ac:dyDescent="0.25">
      <c r="A9" s="15" t="b">
        <f>OR(COUNTIF($P$8:$P$10,P9)&gt;1,AND(NOT(ISBLANK(P9)),ISNA(MATCH(P9,ComponentAbbreviation,0))))</f>
        <v>0</v>
      </c>
      <c r="B9" s="66" t="b">
        <f t="shared" si="0"/>
        <v>0</v>
      </c>
      <c r="C9" s="66" t="b">
        <f t="shared" si="0"/>
        <v>0</v>
      </c>
      <c r="D9" s="66" t="b">
        <f t="shared" si="0"/>
        <v>0</v>
      </c>
      <c r="E9" s="66" t="b">
        <f t="shared" si="0"/>
        <v>0</v>
      </c>
      <c r="F9" s="66" t="b">
        <f t="shared" si="0"/>
        <v>0</v>
      </c>
      <c r="G9" s="66" t="b">
        <f t="shared" si="0"/>
        <v>0</v>
      </c>
      <c r="H9" s="66" t="b">
        <f t="shared" si="0"/>
        <v>0</v>
      </c>
      <c r="I9" s="66" t="b">
        <f t="shared" si="0"/>
        <v>0</v>
      </c>
      <c r="J9" s="66" t="b">
        <f t="shared" si="0"/>
        <v>0</v>
      </c>
      <c r="K9" s="66" t="b">
        <f t="shared" si="0"/>
        <v>0</v>
      </c>
      <c r="L9" s="66" t="b">
        <f t="shared" si="0"/>
        <v>0</v>
      </c>
      <c r="M9" s="66" t="b">
        <f t="shared" si="0"/>
        <v>0</v>
      </c>
      <c r="N9" s="66" t="b">
        <f t="shared" si="0"/>
        <v>0</v>
      </c>
      <c r="P9" s="105"/>
      <c r="Q9" s="16"/>
      <c r="R9" s="16"/>
      <c r="S9" s="16"/>
      <c r="T9" s="16"/>
      <c r="U9" s="16"/>
      <c r="V9" s="16"/>
      <c r="W9" s="16"/>
      <c r="X9" s="16"/>
      <c r="Y9" s="16"/>
      <c r="Z9" s="16"/>
      <c r="AA9" s="16"/>
      <c r="AB9" s="16"/>
      <c r="AC9" s="16"/>
      <c r="AD9" s="17">
        <f>SUM(Q9:AC9)</f>
        <v>0</v>
      </c>
    </row>
    <row r="10" spans="1:30" x14ac:dyDescent="0.25">
      <c r="P10" s="1" t="s">
        <v>48</v>
      </c>
      <c r="Q10" s="17">
        <f>SUM(Q8:ptrCellAbove)</f>
        <v>0</v>
      </c>
      <c r="R10" s="17">
        <f>SUM(R8:ptrCellAbove)</f>
        <v>0</v>
      </c>
      <c r="S10" s="17">
        <f>SUM(S8:ptrCellAbove)</f>
        <v>0</v>
      </c>
      <c r="T10" s="17">
        <f>SUM(T8:ptrCellAbove)</f>
        <v>0</v>
      </c>
      <c r="U10" s="17">
        <f>SUM(U8:ptrCellAbove)</f>
        <v>0</v>
      </c>
      <c r="V10" s="17">
        <f>SUM(V8:ptrCellAbove)</f>
        <v>0</v>
      </c>
      <c r="W10" s="17">
        <f>SUM(W8:ptrCellAbove)</f>
        <v>0</v>
      </c>
      <c r="X10" s="17">
        <f>SUM(X8:ptrCellAbove)</f>
        <v>0</v>
      </c>
      <c r="Y10" s="17">
        <f>SUM(Y8:ptrCellAbove)</f>
        <v>0</v>
      </c>
      <c r="Z10" s="17">
        <f>SUM(Z8:ptrCellAbove)</f>
        <v>0</v>
      </c>
      <c r="AA10" s="17">
        <f>SUM(AA8:ptrCellAbove)</f>
        <v>0</v>
      </c>
      <c r="AB10" s="17">
        <f>SUM(AB8:ptrCellAbove)</f>
        <v>0</v>
      </c>
      <c r="AC10" s="17">
        <f>SUM(AC8:ptrCellAbove)</f>
        <v>0</v>
      </c>
      <c r="AD10" s="17">
        <f>SUM(AD8:ptrCellAbove)</f>
        <v>0</v>
      </c>
    </row>
    <row r="11" spans="1:30" x14ac:dyDescent="0.25">
      <c r="A11" s="15" t="b">
        <f>OR(A8:N10)</f>
        <v>0</v>
      </c>
    </row>
    <row r="13" spans="1:30" ht="15.75" x14ac:dyDescent="0.25">
      <c r="P13" s="48" t="s">
        <v>30</v>
      </c>
    </row>
    <row r="14" spans="1:30" x14ac:dyDescent="0.25">
      <c r="P14" s="144"/>
      <c r="Q14" s="144"/>
      <c r="R14" s="144"/>
      <c r="S14" s="144"/>
      <c r="T14" s="144"/>
      <c r="U14" s="144"/>
      <c r="V14" s="144"/>
      <c r="W14" s="144"/>
      <c r="X14" s="144"/>
      <c r="Y14" s="144"/>
      <c r="Z14" s="144"/>
      <c r="AA14" s="144"/>
      <c r="AB14" s="144"/>
      <c r="AC14" s="144"/>
      <c r="AD14" s="144"/>
    </row>
    <row r="15" spans="1:30" ht="15" customHeight="1" x14ac:dyDescent="0.25">
      <c r="P15" s="122"/>
      <c r="Q15" s="123"/>
      <c r="R15" s="123"/>
      <c r="S15" s="123"/>
      <c r="T15" s="123"/>
      <c r="U15" s="123"/>
      <c r="V15" s="123"/>
      <c r="W15" s="123"/>
      <c r="X15" s="123"/>
      <c r="Y15" s="123"/>
      <c r="Z15" s="123"/>
      <c r="AA15" s="123"/>
      <c r="AB15" s="123"/>
      <c r="AC15" s="123"/>
      <c r="AD15" s="124"/>
    </row>
    <row r="16" spans="1:30" ht="15" customHeight="1" x14ac:dyDescent="0.25">
      <c r="P16" s="122"/>
      <c r="Q16" s="123"/>
      <c r="R16" s="123"/>
      <c r="S16" s="123"/>
      <c r="T16" s="123"/>
      <c r="U16" s="123"/>
      <c r="V16" s="123"/>
      <c r="W16" s="123"/>
      <c r="X16" s="123"/>
      <c r="Y16" s="123"/>
      <c r="Z16" s="123"/>
      <c r="AA16" s="123"/>
      <c r="AB16" s="123"/>
      <c r="AC16" s="123"/>
      <c r="AD16" s="124"/>
    </row>
    <row r="17" spans="16:30" x14ac:dyDescent="0.25">
      <c r="P17" s="144"/>
      <c r="Q17" s="144"/>
      <c r="R17" s="144"/>
      <c r="S17" s="144"/>
      <c r="T17" s="144"/>
      <c r="U17" s="144"/>
      <c r="V17" s="144"/>
      <c r="W17" s="144"/>
      <c r="X17" s="144"/>
      <c r="Y17" s="144"/>
      <c r="Z17" s="144"/>
      <c r="AA17" s="144"/>
      <c r="AB17" s="144"/>
      <c r="AC17" s="144"/>
      <c r="AD17" s="144"/>
    </row>
  </sheetData>
  <sheetProtection sheet="1" objects="1" scenarios="1" selectLockedCells="1"/>
  <mergeCells count="6">
    <mergeCell ref="P17:AD17"/>
    <mergeCell ref="P3:AD3"/>
    <mergeCell ref="P5:Y5"/>
    <mergeCell ref="P14:AD14"/>
    <mergeCell ref="P15:AD15"/>
    <mergeCell ref="P16:AD16"/>
  </mergeCells>
  <conditionalFormatting sqref="P8:AC9">
    <cfRule type="expression" dxfId="20" priority="2" stopIfTrue="1">
      <formula>A8</formula>
    </cfRule>
  </conditionalFormatting>
  <dataValidations count="2">
    <dataValidation type="list" showErrorMessage="1" error="Please choose or enter a component abbreviation set up on the Agency Information worksheet." sqref="P8:P9">
      <formula1>ComponentAbbreviation</formula1>
    </dataValidation>
    <dataValidation type="whole" operator="greaterThanOrEqual" showInputMessage="1" showErrorMessage="1" error="Please enter a non-negative integer." sqref="Q8:AC9">
      <formula1>0</formula1>
    </dataValidation>
  </dataValidations>
  <pageMargins left="0.7" right="0.7" top="0.75" bottom="0.75" header="0.3" footer="0.3"/>
  <pageSetup orientation="portrait" horizont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ComplexTimeIncrements"/>
  <dimension ref="A1:AD17"/>
  <sheetViews>
    <sheetView showRowColHeaders="0" topLeftCell="O2" workbookViewId="0">
      <selection activeCell="P8" sqref="P8"/>
    </sheetView>
  </sheetViews>
  <sheetFormatPr defaultRowHeight="15" x14ac:dyDescent="0.25"/>
  <cols>
    <col min="1" max="1" width="10.7109375" style="66" hidden="1" customWidth="1"/>
    <col min="2" max="14" width="8.7109375" style="66" hidden="1" customWidth="1"/>
    <col min="15" max="15" width="3.7109375" style="66" customWidth="1"/>
    <col min="16" max="16" width="15.7109375" style="66" customWidth="1"/>
    <col min="17" max="27" width="7.7109375" style="66" customWidth="1"/>
    <col min="28" max="30" width="7.7109375" style="15" customWidth="1"/>
    <col min="31" max="16384" width="9.140625" style="15"/>
  </cols>
  <sheetData>
    <row r="1" spans="1:30" s="44" customFormat="1" ht="15" hidden="1" customHeight="1" x14ac:dyDescent="0.25">
      <c r="A1" s="82" t="s">
        <v>19</v>
      </c>
      <c r="B1" s="82"/>
      <c r="C1" s="82"/>
      <c r="D1" s="82"/>
      <c r="E1" s="82"/>
      <c r="F1" s="82"/>
      <c r="G1" s="82"/>
      <c r="H1" s="82"/>
      <c r="I1" s="82"/>
      <c r="J1" s="82"/>
      <c r="K1" s="82"/>
      <c r="L1" s="82"/>
      <c r="M1" s="82"/>
      <c r="N1" s="82"/>
      <c r="O1" s="82"/>
      <c r="P1" s="82"/>
      <c r="Q1" s="82"/>
      <c r="R1" s="82"/>
      <c r="S1" s="82"/>
      <c r="T1" s="82"/>
      <c r="U1" s="82"/>
      <c r="V1" s="82"/>
      <c r="W1" s="82"/>
      <c r="X1" s="82"/>
      <c r="Y1" s="82"/>
      <c r="Z1" s="82"/>
      <c r="AA1" s="82"/>
    </row>
    <row r="2" spans="1:30" s="82" customFormat="1" ht="9.9499999999999993" customHeight="1" x14ac:dyDescent="0.25"/>
    <row r="3" spans="1:30" s="82" customFormat="1" x14ac:dyDescent="0.25">
      <c r="P3" s="115" t="s">
        <v>240</v>
      </c>
      <c r="Q3" s="115"/>
      <c r="R3" s="115"/>
      <c r="S3" s="115"/>
      <c r="T3" s="115"/>
      <c r="U3" s="115"/>
      <c r="V3" s="115"/>
      <c r="W3" s="115"/>
      <c r="X3" s="115"/>
      <c r="Y3" s="115"/>
      <c r="Z3" s="115"/>
      <c r="AA3" s="115"/>
      <c r="AB3" s="115"/>
      <c r="AC3" s="115"/>
      <c r="AD3" s="115"/>
    </row>
    <row r="5" spans="1:30" ht="18.75" customHeight="1" x14ac:dyDescent="0.25">
      <c r="P5" s="135" t="s">
        <v>148</v>
      </c>
      <c r="Q5" s="136"/>
      <c r="R5" s="136"/>
      <c r="S5" s="136"/>
      <c r="T5" s="136"/>
      <c r="U5" s="136"/>
      <c r="V5" s="136"/>
      <c r="W5" s="136"/>
      <c r="X5" s="136"/>
      <c r="Y5" s="151"/>
    </row>
    <row r="7" spans="1:30" ht="24" x14ac:dyDescent="0.25">
      <c r="P7" s="97" t="s">
        <v>283</v>
      </c>
      <c r="Q7" s="98" t="s">
        <v>289</v>
      </c>
      <c r="R7" s="98" t="s">
        <v>142</v>
      </c>
      <c r="S7" s="98" t="s">
        <v>143</v>
      </c>
      <c r="T7" s="1" t="s">
        <v>144</v>
      </c>
      <c r="U7" s="1" t="s">
        <v>133</v>
      </c>
      <c r="V7" s="1" t="s">
        <v>134</v>
      </c>
      <c r="W7" s="1" t="s">
        <v>135</v>
      </c>
      <c r="X7" s="1" t="s">
        <v>136</v>
      </c>
      <c r="Y7" s="1" t="s">
        <v>137</v>
      </c>
      <c r="Z7" s="1" t="s">
        <v>138</v>
      </c>
      <c r="AA7" s="1" t="s">
        <v>139</v>
      </c>
      <c r="AB7" s="1" t="s">
        <v>140</v>
      </c>
      <c r="AC7" s="1" t="s">
        <v>141</v>
      </c>
      <c r="AD7" s="1" t="s">
        <v>46</v>
      </c>
    </row>
    <row r="8" spans="1:30" x14ac:dyDescent="0.25">
      <c r="A8" s="66" t="b">
        <f>OR(COUNTIF($P$8:$P$10,P8)&gt;1,AND(NOT(ISBLANK(P8)),ISNA(MATCH(P8,ComponentAbbreviation,0))))</f>
        <v>0</v>
      </c>
      <c r="B8" s="66" t="b">
        <f t="shared" ref="B8:N9" si="0">OR(AND(ISBLANK($P8),NOT(ISBLANK(Q8))),AND(NOT(ISBLANK($P8)),NOT(IsNonNegativeInteger(Q8))))</f>
        <v>0</v>
      </c>
      <c r="C8" s="66" t="b">
        <f t="shared" si="0"/>
        <v>0</v>
      </c>
      <c r="D8" s="66" t="b">
        <f t="shared" si="0"/>
        <v>0</v>
      </c>
      <c r="E8" s="66" t="b">
        <f t="shared" si="0"/>
        <v>0</v>
      </c>
      <c r="F8" s="66" t="b">
        <f t="shared" si="0"/>
        <v>0</v>
      </c>
      <c r="G8" s="66" t="b">
        <f t="shared" si="0"/>
        <v>0</v>
      </c>
      <c r="H8" s="66" t="b">
        <f t="shared" si="0"/>
        <v>0</v>
      </c>
      <c r="I8" s="66" t="b">
        <f t="shared" si="0"/>
        <v>0</v>
      </c>
      <c r="J8" s="66" t="b">
        <f t="shared" si="0"/>
        <v>0</v>
      </c>
      <c r="K8" s="66" t="b">
        <f t="shared" si="0"/>
        <v>0</v>
      </c>
      <c r="L8" s="66" t="b">
        <f t="shared" si="0"/>
        <v>0</v>
      </c>
      <c r="M8" s="66" t="b">
        <f t="shared" si="0"/>
        <v>0</v>
      </c>
      <c r="N8" s="66" t="b">
        <f t="shared" si="0"/>
        <v>0</v>
      </c>
      <c r="P8" s="105" t="s">
        <v>295</v>
      </c>
      <c r="Q8" s="16">
        <v>0</v>
      </c>
      <c r="R8" s="16">
        <v>0</v>
      </c>
      <c r="S8" s="16">
        <v>0</v>
      </c>
      <c r="T8" s="16">
        <v>0</v>
      </c>
      <c r="U8" s="16">
        <v>0</v>
      </c>
      <c r="V8" s="16">
        <v>0</v>
      </c>
      <c r="W8" s="16">
        <v>0</v>
      </c>
      <c r="X8" s="16">
        <v>0</v>
      </c>
      <c r="Y8" s="16">
        <v>0</v>
      </c>
      <c r="Z8" s="16">
        <v>0</v>
      </c>
      <c r="AA8" s="16">
        <v>0</v>
      </c>
      <c r="AB8" s="16">
        <v>0</v>
      </c>
      <c r="AC8" s="16">
        <v>0</v>
      </c>
      <c r="AD8" s="17">
        <f>SUM(Q8:AC8)</f>
        <v>0</v>
      </c>
    </row>
    <row r="9" spans="1:30" x14ac:dyDescent="0.25">
      <c r="A9" s="66" t="b">
        <f>OR(COUNTIF($P$8:$P$10,P9)&gt;1,AND(NOT(ISBLANK(P9)),ISNA(MATCH(P9,ComponentAbbreviation,0))))</f>
        <v>0</v>
      </c>
      <c r="B9" s="66" t="b">
        <f t="shared" si="0"/>
        <v>0</v>
      </c>
      <c r="C9" s="66" t="b">
        <f t="shared" si="0"/>
        <v>0</v>
      </c>
      <c r="D9" s="66" t="b">
        <f t="shared" si="0"/>
        <v>0</v>
      </c>
      <c r="E9" s="66" t="b">
        <f t="shared" si="0"/>
        <v>0</v>
      </c>
      <c r="F9" s="66" t="b">
        <f t="shared" si="0"/>
        <v>0</v>
      </c>
      <c r="G9" s="66" t="b">
        <f t="shared" si="0"/>
        <v>0</v>
      </c>
      <c r="H9" s="66" t="b">
        <f t="shared" si="0"/>
        <v>0</v>
      </c>
      <c r="I9" s="66" t="b">
        <f t="shared" si="0"/>
        <v>0</v>
      </c>
      <c r="J9" s="66" t="b">
        <f t="shared" si="0"/>
        <v>0</v>
      </c>
      <c r="K9" s="66" t="b">
        <f t="shared" si="0"/>
        <v>0</v>
      </c>
      <c r="L9" s="66" t="b">
        <f t="shared" si="0"/>
        <v>0</v>
      </c>
      <c r="M9" s="66" t="b">
        <f t="shared" si="0"/>
        <v>0</v>
      </c>
      <c r="N9" s="66" t="b">
        <f t="shared" si="0"/>
        <v>0</v>
      </c>
      <c r="P9" s="105"/>
      <c r="Q9" s="16"/>
      <c r="R9" s="16"/>
      <c r="S9" s="16"/>
      <c r="T9" s="16"/>
      <c r="U9" s="16"/>
      <c r="V9" s="16"/>
      <c r="W9" s="16"/>
      <c r="X9" s="16"/>
      <c r="Y9" s="16"/>
      <c r="Z9" s="16"/>
      <c r="AA9" s="16"/>
      <c r="AB9" s="16"/>
      <c r="AC9" s="16"/>
      <c r="AD9" s="17">
        <f>SUM(Q9:AC9)</f>
        <v>0</v>
      </c>
    </row>
    <row r="10" spans="1:30" x14ac:dyDescent="0.25">
      <c r="P10" s="1" t="s">
        <v>48</v>
      </c>
      <c r="Q10" s="17">
        <f>SUM(Q8:ptrCellAbove)</f>
        <v>0</v>
      </c>
      <c r="R10" s="17">
        <f>SUM(R8:ptrCellAbove)</f>
        <v>0</v>
      </c>
      <c r="S10" s="17">
        <f>SUM(S8:ptrCellAbove)</f>
        <v>0</v>
      </c>
      <c r="T10" s="17">
        <f>SUM(T8:ptrCellAbove)</f>
        <v>0</v>
      </c>
      <c r="U10" s="17">
        <f>SUM(U8:ptrCellAbove)</f>
        <v>0</v>
      </c>
      <c r="V10" s="17">
        <f>SUM(V8:ptrCellAbove)</f>
        <v>0</v>
      </c>
      <c r="W10" s="17">
        <f>SUM(W8:ptrCellAbove)</f>
        <v>0</v>
      </c>
      <c r="X10" s="17">
        <f>SUM(X8:ptrCellAbove)</f>
        <v>0</v>
      </c>
      <c r="Y10" s="17">
        <f>SUM(Y8:ptrCellAbove)</f>
        <v>0</v>
      </c>
      <c r="Z10" s="17">
        <f>SUM(Z8:ptrCellAbove)</f>
        <v>0</v>
      </c>
      <c r="AA10" s="17">
        <f>SUM(AA8:ptrCellAbove)</f>
        <v>0</v>
      </c>
      <c r="AB10" s="17">
        <f>SUM(AB8:ptrCellAbove)</f>
        <v>0</v>
      </c>
      <c r="AC10" s="17">
        <f>SUM(AC8:ptrCellAbove)</f>
        <v>0</v>
      </c>
      <c r="AD10" s="17">
        <f>SUM(AD8:ptrCellAbove)</f>
        <v>0</v>
      </c>
    </row>
    <row r="11" spans="1:30" x14ac:dyDescent="0.25">
      <c r="A11" s="66" t="b">
        <f>OR(A8:N10)</f>
        <v>0</v>
      </c>
    </row>
    <row r="13" spans="1:30" ht="15.75" x14ac:dyDescent="0.25">
      <c r="P13" s="87" t="s">
        <v>30</v>
      </c>
    </row>
    <row r="14" spans="1:30" x14ac:dyDescent="0.25">
      <c r="P14" s="144"/>
      <c r="Q14" s="144"/>
      <c r="R14" s="144"/>
      <c r="S14" s="144"/>
      <c r="T14" s="144"/>
      <c r="U14" s="144"/>
      <c r="V14" s="144"/>
      <c r="W14" s="144"/>
      <c r="X14" s="144"/>
      <c r="Y14" s="144"/>
      <c r="Z14" s="144"/>
      <c r="AA14" s="144"/>
      <c r="AB14" s="144"/>
      <c r="AC14" s="144"/>
      <c r="AD14" s="144"/>
    </row>
    <row r="15" spans="1:30" ht="15" customHeight="1" x14ac:dyDescent="0.25">
      <c r="P15" s="122"/>
      <c r="Q15" s="123"/>
      <c r="R15" s="123"/>
      <c r="S15" s="123"/>
      <c r="T15" s="123"/>
      <c r="U15" s="123"/>
      <c r="V15" s="123"/>
      <c r="W15" s="123"/>
      <c r="X15" s="123"/>
      <c r="Y15" s="123"/>
      <c r="Z15" s="123"/>
      <c r="AA15" s="123"/>
      <c r="AB15" s="123"/>
      <c r="AC15" s="123"/>
      <c r="AD15" s="124"/>
    </row>
    <row r="16" spans="1:30" ht="15" customHeight="1" x14ac:dyDescent="0.25">
      <c r="P16" s="122"/>
      <c r="Q16" s="123"/>
      <c r="R16" s="123"/>
      <c r="S16" s="123"/>
      <c r="T16" s="123"/>
      <c r="U16" s="123"/>
      <c r="V16" s="123"/>
      <c r="W16" s="123"/>
      <c r="X16" s="123"/>
      <c r="Y16" s="123"/>
      <c r="Z16" s="123"/>
      <c r="AA16" s="123"/>
      <c r="AB16" s="123"/>
      <c r="AC16" s="123"/>
      <c r="AD16" s="124"/>
    </row>
    <row r="17" spans="16:30" x14ac:dyDescent="0.25">
      <c r="P17" s="144"/>
      <c r="Q17" s="144"/>
      <c r="R17" s="144"/>
      <c r="S17" s="144"/>
      <c r="T17" s="144"/>
      <c r="U17" s="144"/>
      <c r="V17" s="144"/>
      <c r="W17" s="144"/>
      <c r="X17" s="144"/>
      <c r="Y17" s="144"/>
      <c r="Z17" s="144"/>
      <c r="AA17" s="144"/>
      <c r="AB17" s="144"/>
      <c r="AC17" s="144"/>
      <c r="AD17" s="144"/>
    </row>
  </sheetData>
  <sheetProtection sheet="1" objects="1" scenarios="1" selectLockedCells="1"/>
  <mergeCells count="6">
    <mergeCell ref="P17:AD17"/>
    <mergeCell ref="P5:Y5"/>
    <mergeCell ref="P3:AD3"/>
    <mergeCell ref="P14:AD14"/>
    <mergeCell ref="P15:AD15"/>
    <mergeCell ref="P16:AD16"/>
  </mergeCells>
  <conditionalFormatting sqref="P8:AC9">
    <cfRule type="expression" dxfId="19" priority="2" stopIfTrue="1">
      <formula>A8</formula>
    </cfRule>
  </conditionalFormatting>
  <dataValidations count="2">
    <dataValidation type="list" showErrorMessage="1" error="Please choose or enter a component abbreviation set up on the Agency Information worksheet." sqref="P8:P9">
      <formula1>ComponentAbbreviation</formula1>
    </dataValidation>
    <dataValidation type="whole" operator="greaterThanOrEqual" showInputMessage="1" showErrorMessage="1" error="Please enter a non-negative integer." sqref="Q8:AC9">
      <formula1>0</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ExpeditedTimeIncrements"/>
  <dimension ref="A1:AD17"/>
  <sheetViews>
    <sheetView showRowColHeaders="0" topLeftCell="O2" workbookViewId="0">
      <selection activeCell="P8" sqref="P8"/>
    </sheetView>
  </sheetViews>
  <sheetFormatPr defaultRowHeight="15" x14ac:dyDescent="0.25"/>
  <cols>
    <col min="1" max="1" width="10.7109375" style="15" hidden="1" customWidth="1"/>
    <col min="2" max="14" width="8.7109375" style="66" hidden="1" customWidth="1"/>
    <col min="15" max="15" width="3.7109375" style="15" customWidth="1"/>
    <col min="16" max="16" width="15.7109375" style="15" customWidth="1"/>
    <col min="17" max="30" width="7.7109375" style="15" customWidth="1"/>
    <col min="31" max="16384" width="9.140625" style="15"/>
  </cols>
  <sheetData>
    <row r="1" spans="1:30" s="44" customFormat="1" ht="30" hidden="1" x14ac:dyDescent="0.25">
      <c r="A1" s="44" t="s">
        <v>19</v>
      </c>
      <c r="B1" s="82"/>
      <c r="C1" s="82"/>
      <c r="D1" s="82"/>
      <c r="E1" s="82"/>
      <c r="F1" s="82"/>
      <c r="G1" s="82"/>
      <c r="H1" s="82"/>
      <c r="I1" s="82"/>
      <c r="J1" s="82"/>
      <c r="K1" s="82"/>
      <c r="L1" s="82"/>
      <c r="M1" s="82"/>
      <c r="N1" s="82"/>
    </row>
    <row r="2" spans="1:30" s="82" customFormat="1" ht="9.9499999999999993" customHeight="1" x14ac:dyDescent="0.25"/>
    <row r="3" spans="1:30" s="82" customFormat="1" x14ac:dyDescent="0.25">
      <c r="P3" s="115" t="s">
        <v>240</v>
      </c>
      <c r="Q3" s="115"/>
      <c r="R3" s="115"/>
      <c r="S3" s="115"/>
      <c r="T3" s="115"/>
      <c r="U3" s="115"/>
      <c r="V3" s="115"/>
      <c r="W3" s="115"/>
      <c r="X3" s="115"/>
      <c r="Y3" s="115"/>
      <c r="Z3" s="115"/>
      <c r="AA3" s="115"/>
      <c r="AB3" s="115"/>
      <c r="AC3" s="115"/>
      <c r="AD3" s="115"/>
    </row>
    <row r="5" spans="1:30" ht="15.75" x14ac:dyDescent="0.25">
      <c r="P5" s="129" t="s">
        <v>149</v>
      </c>
      <c r="Q5" s="129"/>
      <c r="R5" s="129"/>
      <c r="S5" s="129"/>
      <c r="T5" s="129"/>
      <c r="U5" s="129"/>
      <c r="V5" s="129"/>
      <c r="W5" s="129"/>
      <c r="X5" s="129"/>
      <c r="Y5" s="129"/>
      <c r="Z5" s="129"/>
      <c r="AA5" s="129"/>
    </row>
    <row r="7" spans="1:30" ht="24" x14ac:dyDescent="0.25">
      <c r="P7" s="97" t="s">
        <v>283</v>
      </c>
      <c r="Q7" s="98" t="s">
        <v>289</v>
      </c>
      <c r="R7" s="98" t="s">
        <v>142</v>
      </c>
      <c r="S7" s="98" t="s">
        <v>143</v>
      </c>
      <c r="T7" s="1" t="s">
        <v>144</v>
      </c>
      <c r="U7" s="1" t="s">
        <v>133</v>
      </c>
      <c r="V7" s="1" t="s">
        <v>134</v>
      </c>
      <c r="W7" s="1" t="s">
        <v>135</v>
      </c>
      <c r="X7" s="1" t="s">
        <v>136</v>
      </c>
      <c r="Y7" s="1" t="s">
        <v>137</v>
      </c>
      <c r="Z7" s="1" t="s">
        <v>138</v>
      </c>
      <c r="AA7" s="1" t="s">
        <v>139</v>
      </c>
      <c r="AB7" s="1" t="s">
        <v>140</v>
      </c>
      <c r="AC7" s="1" t="s">
        <v>141</v>
      </c>
      <c r="AD7" s="1" t="s">
        <v>46</v>
      </c>
    </row>
    <row r="8" spans="1:30" x14ac:dyDescent="0.25">
      <c r="A8" s="15" t="b">
        <f>OR(COUNTIF($P$8:$P$10,P8)&gt;1,AND(NOT(ISBLANK(P8)),ISNA(MATCH(P8,ComponentAbbreviation,0))))</f>
        <v>0</v>
      </c>
      <c r="B8" s="66" t="b">
        <f>OR(AND(ISBLANK($P8),NOT(ISBLANK(Q8))),AND(NOT(ISBLANK($P8)),NOT(IsNonNegativeInteger(Q8))))</f>
        <v>0</v>
      </c>
      <c r="C8" s="66" t="b">
        <f t="shared" ref="C8:N8" si="0">OR(AND(ISBLANK($P8),NOT(ISBLANK(R8))),AND(NOT(ISBLANK($P8)),NOT(IsNonNegativeInteger(R8))))</f>
        <v>0</v>
      </c>
      <c r="D8" s="66" t="b">
        <f t="shared" si="0"/>
        <v>0</v>
      </c>
      <c r="E8" s="66" t="b">
        <f t="shared" si="0"/>
        <v>0</v>
      </c>
      <c r="F8" s="66" t="b">
        <f t="shared" si="0"/>
        <v>0</v>
      </c>
      <c r="G8" s="66" t="b">
        <f t="shared" si="0"/>
        <v>0</v>
      </c>
      <c r="H8" s="66" t="b">
        <f t="shared" si="0"/>
        <v>0</v>
      </c>
      <c r="I8" s="66" t="b">
        <f t="shared" si="0"/>
        <v>0</v>
      </c>
      <c r="J8" s="66" t="b">
        <f t="shared" si="0"/>
        <v>0</v>
      </c>
      <c r="K8" s="66" t="b">
        <f t="shared" si="0"/>
        <v>0</v>
      </c>
      <c r="L8" s="66" t="b">
        <f t="shared" si="0"/>
        <v>0</v>
      </c>
      <c r="M8" s="66" t="b">
        <f t="shared" si="0"/>
        <v>0</v>
      </c>
      <c r="N8" s="66" t="b">
        <f t="shared" si="0"/>
        <v>0</v>
      </c>
      <c r="P8" s="105" t="s">
        <v>295</v>
      </c>
      <c r="Q8" s="16">
        <v>0</v>
      </c>
      <c r="R8" s="16">
        <v>0</v>
      </c>
      <c r="S8" s="16">
        <v>0</v>
      </c>
      <c r="T8" s="16">
        <v>0</v>
      </c>
      <c r="U8" s="16">
        <v>0</v>
      </c>
      <c r="V8" s="16">
        <v>0</v>
      </c>
      <c r="W8" s="16">
        <v>0</v>
      </c>
      <c r="X8" s="16">
        <v>0</v>
      </c>
      <c r="Y8" s="16">
        <v>0</v>
      </c>
      <c r="Z8" s="16">
        <v>0</v>
      </c>
      <c r="AA8" s="16">
        <v>0</v>
      </c>
      <c r="AB8" s="16">
        <v>0</v>
      </c>
      <c r="AC8" s="16">
        <v>0</v>
      </c>
      <c r="AD8" s="17">
        <f>SUM(Q8:AC8)</f>
        <v>0</v>
      </c>
    </row>
    <row r="9" spans="1:30" x14ac:dyDescent="0.25">
      <c r="A9" s="15" t="b">
        <f>OR(COUNTIF($P$8:$P$10,P9)&gt;1,AND(NOT(ISBLANK(P9)),ISNA(MATCH(P9,ComponentAbbreviation,0))))</f>
        <v>0</v>
      </c>
      <c r="B9" s="66" t="b">
        <f>OR(AND(ISBLANK($P9),NOT(ISBLANK(Q9))),AND(NOT(ISBLANK($P9)),NOT(IsNonNegativeInteger(Q9))))</f>
        <v>0</v>
      </c>
      <c r="C9" s="66" t="b">
        <f t="shared" ref="C9:N9" si="1">OR(AND(ISBLANK($P9),NOT(ISBLANK(R9))),AND(NOT(ISBLANK($P9)),NOT(IsNonNegativeInteger(R9))))</f>
        <v>0</v>
      </c>
      <c r="D9" s="66" t="b">
        <f t="shared" si="1"/>
        <v>0</v>
      </c>
      <c r="E9" s="66" t="b">
        <f t="shared" si="1"/>
        <v>0</v>
      </c>
      <c r="F9" s="66" t="b">
        <f t="shared" si="1"/>
        <v>0</v>
      </c>
      <c r="G9" s="66" t="b">
        <f t="shared" si="1"/>
        <v>0</v>
      </c>
      <c r="H9" s="66" t="b">
        <f t="shared" si="1"/>
        <v>0</v>
      </c>
      <c r="I9" s="66" t="b">
        <f t="shared" si="1"/>
        <v>0</v>
      </c>
      <c r="J9" s="66" t="b">
        <f t="shared" si="1"/>
        <v>0</v>
      </c>
      <c r="K9" s="66" t="b">
        <f t="shared" si="1"/>
        <v>0</v>
      </c>
      <c r="L9" s="66" t="b">
        <f t="shared" si="1"/>
        <v>0</v>
      </c>
      <c r="M9" s="66" t="b">
        <f t="shared" si="1"/>
        <v>0</v>
      </c>
      <c r="N9" s="66" t="b">
        <f t="shared" si="1"/>
        <v>0</v>
      </c>
      <c r="P9" s="105"/>
      <c r="Q9" s="16"/>
      <c r="R9" s="16"/>
      <c r="S9" s="16"/>
      <c r="T9" s="16"/>
      <c r="U9" s="16"/>
      <c r="V9" s="16"/>
      <c r="W9" s="16"/>
      <c r="X9" s="16"/>
      <c r="Y9" s="16"/>
      <c r="Z9" s="16"/>
      <c r="AA9" s="16"/>
      <c r="AB9" s="16"/>
      <c r="AC9" s="16"/>
      <c r="AD9" s="17">
        <f>SUM(Q9:AC9)</f>
        <v>0</v>
      </c>
    </row>
    <row r="10" spans="1:30" x14ac:dyDescent="0.25">
      <c r="P10" s="1" t="s">
        <v>48</v>
      </c>
      <c r="Q10" s="17">
        <f>SUM(Q8:ptrCellAbove)</f>
        <v>0</v>
      </c>
      <c r="R10" s="17">
        <f>SUM(R8:ptrCellAbove)</f>
        <v>0</v>
      </c>
      <c r="S10" s="17">
        <f>SUM(S8:ptrCellAbove)</f>
        <v>0</v>
      </c>
      <c r="T10" s="17">
        <f>SUM(T8:ptrCellAbove)</f>
        <v>0</v>
      </c>
      <c r="U10" s="17">
        <f>SUM(U8:ptrCellAbove)</f>
        <v>0</v>
      </c>
      <c r="V10" s="17">
        <f>SUM(V8:ptrCellAbove)</f>
        <v>0</v>
      </c>
      <c r="W10" s="17">
        <f>SUM(W8:ptrCellAbove)</f>
        <v>0</v>
      </c>
      <c r="X10" s="17">
        <f>SUM(X8:ptrCellAbove)</f>
        <v>0</v>
      </c>
      <c r="Y10" s="17">
        <f>SUM(Y8:ptrCellAbove)</f>
        <v>0</v>
      </c>
      <c r="Z10" s="17">
        <f>SUM(Z8:ptrCellAbove)</f>
        <v>0</v>
      </c>
      <c r="AA10" s="17">
        <f>SUM(AA8:ptrCellAbove)</f>
        <v>0</v>
      </c>
      <c r="AB10" s="17">
        <f>SUM(AB8:ptrCellAbove)</f>
        <v>0</v>
      </c>
      <c r="AC10" s="17">
        <f>SUM(AC8:ptrCellAbove)</f>
        <v>0</v>
      </c>
      <c r="AD10" s="17">
        <f>SUM(AD8:ptrCellAbove)</f>
        <v>0</v>
      </c>
    </row>
    <row r="11" spans="1:30" x14ac:dyDescent="0.25">
      <c r="A11" s="15" t="b">
        <f>OR(A8:N10)</f>
        <v>0</v>
      </c>
    </row>
    <row r="13" spans="1:30" ht="15.75" x14ac:dyDescent="0.25">
      <c r="P13" s="49" t="s">
        <v>30</v>
      </c>
    </row>
    <row r="14" spans="1:30" x14ac:dyDescent="0.25">
      <c r="P14" s="144"/>
      <c r="Q14" s="144"/>
      <c r="R14" s="144"/>
      <c r="S14" s="144"/>
      <c r="T14" s="144"/>
      <c r="U14" s="144"/>
      <c r="V14" s="144"/>
      <c r="W14" s="144"/>
      <c r="X14" s="144"/>
      <c r="Y14" s="144"/>
      <c r="Z14" s="144"/>
      <c r="AA14" s="144"/>
      <c r="AB14" s="144"/>
      <c r="AC14" s="144"/>
      <c r="AD14" s="144"/>
    </row>
    <row r="15" spans="1:30" ht="15" customHeight="1" x14ac:dyDescent="0.25">
      <c r="P15" s="122"/>
      <c r="Q15" s="123"/>
      <c r="R15" s="123"/>
      <c r="S15" s="123"/>
      <c r="T15" s="123"/>
      <c r="U15" s="123"/>
      <c r="V15" s="123"/>
      <c r="W15" s="123"/>
      <c r="X15" s="123"/>
      <c r="Y15" s="123"/>
      <c r="Z15" s="123"/>
      <c r="AA15" s="123"/>
      <c r="AB15" s="123"/>
      <c r="AC15" s="123"/>
      <c r="AD15" s="124"/>
    </row>
    <row r="16" spans="1:30" ht="15" customHeight="1" x14ac:dyDescent="0.25">
      <c r="P16" s="122"/>
      <c r="Q16" s="123"/>
      <c r="R16" s="123"/>
      <c r="S16" s="123"/>
      <c r="T16" s="123"/>
      <c r="U16" s="123"/>
      <c r="V16" s="123"/>
      <c r="W16" s="123"/>
      <c r="X16" s="123"/>
      <c r="Y16" s="123"/>
      <c r="Z16" s="123"/>
      <c r="AA16" s="123"/>
      <c r="AB16" s="123"/>
      <c r="AC16" s="123"/>
      <c r="AD16" s="124"/>
    </row>
    <row r="17" spans="16:30" x14ac:dyDescent="0.25">
      <c r="P17" s="144"/>
      <c r="Q17" s="144"/>
      <c r="R17" s="144"/>
      <c r="S17" s="144"/>
      <c r="T17" s="144"/>
      <c r="U17" s="144"/>
      <c r="V17" s="144"/>
      <c r="W17" s="144"/>
      <c r="X17" s="144"/>
      <c r="Y17" s="144"/>
      <c r="Z17" s="144"/>
      <c r="AA17" s="144"/>
      <c r="AB17" s="144"/>
      <c r="AC17" s="144"/>
      <c r="AD17" s="144"/>
    </row>
  </sheetData>
  <sheetProtection sheet="1" objects="1" scenarios="1" selectLockedCells="1"/>
  <mergeCells count="6">
    <mergeCell ref="P3:AD3"/>
    <mergeCell ref="P14:AD14"/>
    <mergeCell ref="P15:AD15"/>
    <mergeCell ref="P16:AD16"/>
    <mergeCell ref="P17:AD17"/>
    <mergeCell ref="P5:AA5"/>
  </mergeCells>
  <conditionalFormatting sqref="P8:AC9">
    <cfRule type="expression" dxfId="18" priority="2" stopIfTrue="1">
      <formula>A8</formula>
    </cfRule>
  </conditionalFormatting>
  <dataValidations count="2">
    <dataValidation type="list" showErrorMessage="1" error="Please choose or enter a component abbreviation set up on the Agency Information worksheet." sqref="P8:P9">
      <formula1>ComponentAbbreviation</formula1>
    </dataValidation>
    <dataValidation type="whole" operator="greaterThanOrEqual" showInputMessage="1" showErrorMessage="1" error="Please enter a non-negative integer." sqref="Q8:AC9">
      <formula1>0</formula1>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PendingPerfectedRequests"/>
  <dimension ref="A1:AA18"/>
  <sheetViews>
    <sheetView showRowColHeaders="0" topLeftCell="K2" workbookViewId="0">
      <selection activeCell="L9" sqref="L9"/>
    </sheetView>
  </sheetViews>
  <sheetFormatPr defaultRowHeight="15" x14ac:dyDescent="0.25"/>
  <cols>
    <col min="1" max="1" width="11.5703125" style="15" hidden="1" customWidth="1"/>
    <col min="2" max="10" width="8.7109375" style="66" hidden="1" customWidth="1"/>
    <col min="11" max="11" width="3.7109375" style="15" customWidth="1"/>
    <col min="12" max="12" width="20.7109375" style="15" customWidth="1"/>
    <col min="13" max="21" width="10.7109375" style="15" customWidth="1"/>
    <col min="22" max="16384" width="9.140625" style="15"/>
  </cols>
  <sheetData>
    <row r="1" spans="1:27" s="44" customFormat="1" ht="30" hidden="1" x14ac:dyDescent="0.25">
      <c r="A1" s="44" t="s">
        <v>69</v>
      </c>
      <c r="B1" s="88"/>
      <c r="C1" s="88"/>
      <c r="D1" s="88"/>
      <c r="E1" s="88"/>
      <c r="F1" s="88"/>
      <c r="G1" s="88"/>
      <c r="H1" s="88"/>
      <c r="I1" s="88"/>
      <c r="J1" s="88"/>
    </row>
    <row r="2" spans="1:27" s="82" customFormat="1" ht="9.9499999999999993" customHeight="1" x14ac:dyDescent="0.25">
      <c r="B2" s="88"/>
      <c r="C2" s="88"/>
      <c r="D2" s="88"/>
      <c r="E2" s="88"/>
      <c r="F2" s="88"/>
      <c r="G2" s="88"/>
      <c r="H2" s="88"/>
      <c r="I2" s="88"/>
      <c r="J2" s="88"/>
    </row>
    <row r="3" spans="1:27" s="82" customFormat="1" ht="68.25" customHeight="1" x14ac:dyDescent="0.25">
      <c r="B3" s="88"/>
      <c r="C3" s="88"/>
      <c r="D3" s="88"/>
      <c r="E3" s="88"/>
      <c r="F3" s="88"/>
      <c r="G3" s="88"/>
      <c r="H3" s="88"/>
      <c r="I3" s="88"/>
      <c r="J3" s="88"/>
      <c r="L3" s="145" t="s">
        <v>258</v>
      </c>
      <c r="M3" s="146"/>
      <c r="N3" s="146"/>
      <c r="O3" s="146"/>
      <c r="P3" s="146"/>
      <c r="Q3" s="146"/>
      <c r="R3" s="146"/>
      <c r="S3" s="146"/>
      <c r="T3" s="146"/>
      <c r="U3" s="147"/>
      <c r="V3" s="84"/>
      <c r="W3" s="84"/>
      <c r="X3" s="84"/>
    </row>
    <row r="5" spans="1:27" ht="18.75" x14ac:dyDescent="0.3">
      <c r="L5" s="129" t="s">
        <v>151</v>
      </c>
      <c r="M5" s="129"/>
      <c r="N5" s="129"/>
      <c r="O5" s="129"/>
      <c r="P5" s="129"/>
      <c r="Q5" s="10"/>
      <c r="R5" s="10"/>
      <c r="S5" s="10"/>
      <c r="T5" s="10"/>
      <c r="U5" s="10"/>
      <c r="V5" s="10"/>
      <c r="W5" s="10"/>
      <c r="X5" s="10"/>
      <c r="Y5" s="10"/>
      <c r="Z5" s="10"/>
      <c r="AA5" s="10"/>
    </row>
    <row r="7" spans="1:27" ht="30" customHeight="1" x14ac:dyDescent="0.25">
      <c r="L7" s="138" t="s">
        <v>283</v>
      </c>
      <c r="M7" s="132" t="s">
        <v>125</v>
      </c>
      <c r="N7" s="133"/>
      <c r="O7" s="133"/>
      <c r="P7" s="132" t="s">
        <v>126</v>
      </c>
      <c r="Q7" s="133"/>
      <c r="R7" s="133"/>
      <c r="S7" s="152" t="s">
        <v>127</v>
      </c>
      <c r="T7" s="152"/>
      <c r="U7" s="152"/>
    </row>
    <row r="8" spans="1:27" ht="36" x14ac:dyDescent="0.25">
      <c r="L8" s="139"/>
      <c r="M8" s="1" t="s">
        <v>152</v>
      </c>
      <c r="N8" s="1" t="s">
        <v>97</v>
      </c>
      <c r="O8" s="1" t="s">
        <v>128</v>
      </c>
      <c r="P8" s="1" t="s">
        <v>152</v>
      </c>
      <c r="Q8" s="1" t="s">
        <v>97</v>
      </c>
      <c r="R8" s="1" t="s">
        <v>128</v>
      </c>
      <c r="S8" s="1" t="s">
        <v>152</v>
      </c>
      <c r="T8" s="1" t="s">
        <v>97</v>
      </c>
      <c r="U8" s="1" t="s">
        <v>128</v>
      </c>
    </row>
    <row r="9" spans="1:27" x14ac:dyDescent="0.25">
      <c r="A9" s="15" t="b">
        <f>OR(COUNTIF($L$9:$L$11,L9)&gt;1,AND(NOT(ISBLANK(L9)),ISNA(MATCH(L9,ComponentAbbrevNoAgency,0))))</f>
        <v>0</v>
      </c>
      <c r="B9" s="66" t="b">
        <f>OR(AND(ISBLANK($L9),NOT(ISBLANK(M9))),AND(NOT(ISBLANK($L9)),NOT(IsNonNegativeInteger(M9))))</f>
        <v>0</v>
      </c>
      <c r="C9" s="66" t="b">
        <f>OR(AND(ISBLANK($L9),NOT(ISBLANK(N9))),AND(NOT(ISBLANK($L9)),NOT(IsNonNegativeDecimal(N9,FALSE,TRUE))))</f>
        <v>0</v>
      </c>
      <c r="D9" s="66" t="b">
        <f>OR(AND(ISBLANK($L9),NOT(ISBLANK(O9))),AND(NOT(ISBLANK($L9)),NOT(IsNonNegativeDecimal(O9,FALSE,TRUE))))</f>
        <v>0</v>
      </c>
      <c r="E9" s="66" t="b">
        <f>OR(AND(ISBLANK($L9),NOT(ISBLANK(P9))),AND(NOT(ISBLANK($L9)),NOT(IsNonNegativeInteger(P9))))</f>
        <v>0</v>
      </c>
      <c r="F9" s="66" t="b">
        <f>OR(AND(ISBLANK($L9),NOT(ISBLANK(Q9))),AND(NOT(ISBLANK($L9)),NOT(IsNonNegativeDecimal(Q9,FALSE,TRUE))))</f>
        <v>0</v>
      </c>
      <c r="G9" s="66" t="b">
        <f>OR(AND(ISBLANK($L9),NOT(ISBLANK(R9))),AND(NOT(ISBLANK($L9)),NOT(IsNonNegativeDecimal(R9,FALSE,TRUE))))</f>
        <v>0</v>
      </c>
      <c r="H9" s="66" t="b">
        <f>OR(AND(ISBLANK($L9),NOT(ISBLANK(S9))),AND(NOT(ISBLANK($L9)),NOT(IsNonNegativeInteger(S9))))</f>
        <v>0</v>
      </c>
      <c r="I9" s="66" t="b">
        <f>OR(AND(ISBLANK($L9),NOT(ISBLANK(T9))),AND(NOT(ISBLANK($L9)),NOT(IsNonNegativeDecimal(T9,FALSE,TRUE))))</f>
        <v>0</v>
      </c>
      <c r="J9" s="66" t="b">
        <f>OR(AND(ISBLANK($L9),NOT(ISBLANK(U9))),AND(NOT(ISBLANK($L9)),NOT(IsNonNegativeDecimal(U9,FALSE,TRUE))))</f>
        <v>0</v>
      </c>
      <c r="L9" s="105"/>
      <c r="M9" s="47"/>
      <c r="N9" s="47"/>
      <c r="O9" s="47"/>
      <c r="P9" s="47"/>
      <c r="Q9" s="47"/>
      <c r="R9" s="47"/>
      <c r="S9" s="47"/>
      <c r="T9" s="47"/>
      <c r="U9" s="47"/>
    </row>
    <row r="10" spans="1:27" x14ac:dyDescent="0.25">
      <c r="A10" s="15" t="b">
        <f>OR(COUNTIF($L$9:$L$11,L10)&gt;1,AND(NOT(ISBLANK(L10)),ISNA(MATCH(L10,ComponentAbbrevNoAgency,0))))</f>
        <v>0</v>
      </c>
      <c r="B10" s="66" t="b">
        <f>OR(AND(ISBLANK($L10),NOT(ISBLANK(M10))),AND(NOT(ISBLANK($L10)),NOT(IsNonNegativeInteger(M10))))</f>
        <v>0</v>
      </c>
      <c r="C10" s="66" t="b">
        <f>OR(AND(ISBLANK($L10),NOT(ISBLANK(N10))),AND(NOT(ISBLANK($L10)),NOT(IsNonNegativeDecimal(N10,FALSE,TRUE))))</f>
        <v>0</v>
      </c>
      <c r="D10" s="66" t="b">
        <f>OR(AND(ISBLANK($L10),NOT(ISBLANK(O10))),AND(NOT(ISBLANK($L10)),NOT(IsNonNegativeDecimal(O10,FALSE,TRUE))))</f>
        <v>0</v>
      </c>
      <c r="E10" s="66" t="b">
        <f>OR(AND(ISBLANK($L10),NOT(ISBLANK(P10))),AND(NOT(ISBLANK($L10)),NOT(IsNonNegativeInteger(P10))))</f>
        <v>0</v>
      </c>
      <c r="F10" s="66" t="b">
        <f>OR(AND(ISBLANK($L10),NOT(ISBLANK(Q10))),AND(NOT(ISBLANK($L10)),NOT(IsNonNegativeDecimal(Q10,FALSE,TRUE))))</f>
        <v>0</v>
      </c>
      <c r="G10" s="66" t="b">
        <f>OR(AND(ISBLANK($L10),NOT(ISBLANK(R10))),AND(NOT(ISBLANK($L10)),NOT(IsNonNegativeDecimal(R10,FALSE,TRUE))))</f>
        <v>0</v>
      </c>
      <c r="H10" s="66" t="b">
        <f>OR(AND(ISBLANK($L10),NOT(ISBLANK(S10))),AND(NOT(ISBLANK($L10)),NOT(IsNonNegativeInteger(S10))))</f>
        <v>0</v>
      </c>
      <c r="I10" s="66" t="b">
        <f>OR(AND(ISBLANK($L10),NOT(ISBLANK(T10))),AND(NOT(ISBLANK($L10)),NOT(IsNonNegativeDecimal(T10,FALSE,TRUE))))</f>
        <v>0</v>
      </c>
      <c r="J10" s="66" t="b">
        <f>OR(AND(ISBLANK($L10),NOT(ISBLANK(U10))),AND(NOT(ISBLANK($L10)),NOT(IsNonNegativeDecimal(U10,FALSE,TRUE))))</f>
        <v>0</v>
      </c>
      <c r="L10" s="105"/>
      <c r="M10" s="47"/>
      <c r="N10" s="47"/>
      <c r="O10" s="47"/>
      <c r="P10" s="47"/>
      <c r="Q10" s="47"/>
      <c r="R10" s="47"/>
      <c r="S10" s="47"/>
      <c r="T10" s="47"/>
      <c r="U10" s="47"/>
    </row>
    <row r="11" spans="1:27" x14ac:dyDescent="0.25">
      <c r="B11" s="66" t="b">
        <f>NOT(IsNonNegativeInteger(M11))</f>
        <v>1</v>
      </c>
      <c r="C11" s="66" t="b">
        <f t="shared" ref="C11:J11" si="0">NOT(IsNonNegativeDecimal(N11,FALSE,TRUE))</f>
        <v>1</v>
      </c>
      <c r="D11" s="66" t="b">
        <f t="shared" si="0"/>
        <v>1</v>
      </c>
      <c r="E11" s="66" t="b">
        <f>NOT(IsNonNegativeInteger(P11))</f>
        <v>1</v>
      </c>
      <c r="F11" s="66" t="b">
        <f t="shared" si="0"/>
        <v>1</v>
      </c>
      <c r="G11" s="66" t="b">
        <f t="shared" si="0"/>
        <v>1</v>
      </c>
      <c r="H11" s="66" t="b">
        <f>NOT(IsNonNegativeInteger(S11))</f>
        <v>1</v>
      </c>
      <c r="I11" s="66" t="b">
        <f t="shared" si="0"/>
        <v>1</v>
      </c>
      <c r="J11" s="66" t="b">
        <f t="shared" si="0"/>
        <v>1</v>
      </c>
      <c r="L11" s="1" t="s">
        <v>48</v>
      </c>
      <c r="M11" s="47"/>
      <c r="N11" s="47"/>
      <c r="O11" s="47"/>
      <c r="P11" s="47"/>
      <c r="Q11" s="47"/>
      <c r="R11" s="47"/>
      <c r="S11" s="47"/>
      <c r="T11" s="47"/>
      <c r="U11" s="47"/>
    </row>
    <row r="12" spans="1:27" x14ac:dyDescent="0.25">
      <c r="A12" s="15" t="b">
        <f>OR(A9:J11)</f>
        <v>1</v>
      </c>
    </row>
    <row r="13" spans="1:27" s="66" customFormat="1" x14ac:dyDescent="0.25"/>
    <row r="14" spans="1:27" ht="15.75" x14ac:dyDescent="0.25">
      <c r="L14" s="50" t="s">
        <v>30</v>
      </c>
    </row>
    <row r="15" spans="1:27" x14ac:dyDescent="0.25">
      <c r="L15" s="148"/>
      <c r="M15" s="148"/>
      <c r="N15" s="148"/>
      <c r="O15" s="148"/>
      <c r="P15" s="148"/>
      <c r="Q15" s="148"/>
      <c r="R15" s="148"/>
      <c r="S15" s="148"/>
      <c r="T15" s="148"/>
      <c r="U15" s="148"/>
    </row>
    <row r="16" spans="1:27" ht="15" customHeight="1" x14ac:dyDescent="0.25">
      <c r="L16" s="122"/>
      <c r="M16" s="123"/>
      <c r="N16" s="123"/>
      <c r="O16" s="123"/>
      <c r="P16" s="123"/>
      <c r="Q16" s="123"/>
      <c r="R16" s="123"/>
      <c r="S16" s="123"/>
      <c r="T16" s="123"/>
      <c r="U16" s="124"/>
    </row>
    <row r="17" spans="12:21" ht="15" customHeight="1" x14ac:dyDescent="0.25">
      <c r="L17" s="122"/>
      <c r="M17" s="123"/>
      <c r="N17" s="123"/>
      <c r="O17" s="123"/>
      <c r="P17" s="123"/>
      <c r="Q17" s="123"/>
      <c r="R17" s="123"/>
      <c r="S17" s="123"/>
      <c r="T17" s="123"/>
      <c r="U17" s="124"/>
    </row>
    <row r="18" spans="12:21" x14ac:dyDescent="0.25">
      <c r="L18" s="148"/>
      <c r="M18" s="148"/>
      <c r="N18" s="148"/>
      <c r="O18" s="148"/>
      <c r="P18" s="148"/>
      <c r="Q18" s="148"/>
      <c r="R18" s="148"/>
      <c r="S18" s="148"/>
      <c r="T18" s="148"/>
      <c r="U18" s="148"/>
    </row>
  </sheetData>
  <sheetProtection sheet="1" objects="1" scenarios="1" selectLockedCells="1"/>
  <mergeCells count="10">
    <mergeCell ref="L3:U3"/>
    <mergeCell ref="L15:U15"/>
    <mergeCell ref="L16:U16"/>
    <mergeCell ref="L17:U17"/>
    <mergeCell ref="L18:U18"/>
    <mergeCell ref="S7:U7"/>
    <mergeCell ref="L5:P5"/>
    <mergeCell ref="L7:L8"/>
    <mergeCell ref="M7:O7"/>
    <mergeCell ref="P7:R7"/>
  </mergeCells>
  <conditionalFormatting sqref="L9:L10 M9:U11">
    <cfRule type="expression" dxfId="17" priority="1" stopIfTrue="1">
      <formula>A9</formula>
    </cfRule>
  </conditionalFormatting>
  <dataValidations count="1">
    <dataValidation type="list" showErrorMessage="1" error="Please choose or enter a component abbreviation set up on the Agency Information worksheet." sqref="L9:L10">
      <formula1>ComponentAbbrevNoAgency</formula1>
    </dataValidation>
  </dataValidations>
  <pageMargins left="0.7" right="0.7" top="0.75" bottom="0.75" header="0.3" footer="0.3"/>
  <pageSetup orientation="portrait" horizont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ldestPendingRequest"/>
  <dimension ref="A1:X18"/>
  <sheetViews>
    <sheetView showRowColHeaders="0" topLeftCell="L2" workbookViewId="0">
      <selection activeCell="M8" sqref="M8:M9"/>
    </sheetView>
  </sheetViews>
  <sheetFormatPr defaultRowHeight="15" x14ac:dyDescent="0.25"/>
  <cols>
    <col min="1" max="11" width="8.7109375" style="15" hidden="1" customWidth="1"/>
    <col min="12" max="12" width="3.7109375" style="15" customWidth="1"/>
    <col min="13" max="13" width="15.7109375" style="15" customWidth="1"/>
    <col min="14" max="14" width="19.7109375" style="15" customWidth="1"/>
    <col min="15" max="24" width="9.7109375" style="15" customWidth="1"/>
    <col min="25" max="16384" width="9.140625" style="15"/>
  </cols>
  <sheetData>
    <row r="1" spans="1:24" s="44" customFormat="1" ht="45" hidden="1" x14ac:dyDescent="0.25">
      <c r="A1" s="44" t="s">
        <v>69</v>
      </c>
      <c r="B1" s="44" t="s">
        <v>114</v>
      </c>
      <c r="C1" s="44" t="s">
        <v>115</v>
      </c>
      <c r="D1" s="44" t="s">
        <v>116</v>
      </c>
      <c r="E1" s="44" t="s">
        <v>117</v>
      </c>
      <c r="F1" s="44" t="s">
        <v>118</v>
      </c>
      <c r="G1" s="44" t="s">
        <v>119</v>
      </c>
      <c r="H1" s="44" t="s">
        <v>120</v>
      </c>
      <c r="I1" s="44" t="s">
        <v>121</v>
      </c>
      <c r="J1" s="44" t="s">
        <v>122</v>
      </c>
      <c r="K1" s="44" t="s">
        <v>123</v>
      </c>
    </row>
    <row r="2" spans="1:24" s="82" customFormat="1" ht="9.9499999999999993" customHeight="1" x14ac:dyDescent="0.25"/>
    <row r="3" spans="1:24" s="82" customFormat="1" ht="83.25" customHeight="1" x14ac:dyDescent="0.25">
      <c r="M3" s="115" t="s">
        <v>256</v>
      </c>
      <c r="N3" s="115"/>
      <c r="O3" s="115"/>
      <c r="P3" s="115"/>
      <c r="Q3" s="115"/>
      <c r="R3" s="115"/>
      <c r="S3" s="115"/>
      <c r="T3" s="115"/>
      <c r="U3" s="115"/>
      <c r="V3" s="115"/>
      <c r="W3" s="115"/>
      <c r="X3" s="115"/>
    </row>
    <row r="5" spans="1:24" ht="18.75" x14ac:dyDescent="0.3">
      <c r="M5" s="129" t="s">
        <v>154</v>
      </c>
      <c r="N5" s="129"/>
      <c r="O5" s="129"/>
      <c r="P5" s="129"/>
      <c r="Q5" s="129"/>
      <c r="R5" s="129"/>
      <c r="S5" s="10"/>
      <c r="T5" s="10"/>
      <c r="U5" s="10"/>
      <c r="V5" s="10"/>
      <c r="W5" s="10"/>
      <c r="X5" s="10"/>
    </row>
    <row r="7" spans="1:24" s="44" customFormat="1" ht="24" x14ac:dyDescent="0.25">
      <c r="M7" s="43" t="s">
        <v>283</v>
      </c>
      <c r="N7" s="43"/>
      <c r="O7" s="43" t="s">
        <v>155</v>
      </c>
      <c r="P7" s="43" t="s">
        <v>103</v>
      </c>
      <c r="Q7" s="43" t="s">
        <v>104</v>
      </c>
      <c r="R7" s="43" t="s">
        <v>105</v>
      </c>
      <c r="S7" s="43" t="s">
        <v>106</v>
      </c>
      <c r="T7" s="43" t="s">
        <v>107</v>
      </c>
      <c r="U7" s="43" t="s">
        <v>108</v>
      </c>
      <c r="V7" s="43" t="s">
        <v>109</v>
      </c>
      <c r="W7" s="43" t="s">
        <v>110</v>
      </c>
      <c r="X7" s="43" t="s">
        <v>156</v>
      </c>
    </row>
    <row r="8" spans="1:24" x14ac:dyDescent="0.25">
      <c r="A8" s="143" t="b">
        <f>OR(COUNTIF($M$8:$M$10,M8)&gt;1,AND(NOT(ISBLANK(M8)),ISNA(MATCH(M8,ComponentAbbrevNoAgency,0))))</f>
        <v>0</v>
      </c>
      <c r="B8" s="52" t="b">
        <f t="shared" ref="B8:K8" si="0">NOT(AND(BothOrNeither($M8,O8),IsValidOldestDate(O8,N8)))</f>
        <v>0</v>
      </c>
      <c r="C8" s="90" t="b">
        <f t="shared" si="0"/>
        <v>0</v>
      </c>
      <c r="D8" s="90" t="b">
        <f t="shared" si="0"/>
        <v>0</v>
      </c>
      <c r="E8" s="90" t="b">
        <f t="shared" si="0"/>
        <v>0</v>
      </c>
      <c r="F8" s="90" t="b">
        <f t="shared" si="0"/>
        <v>0</v>
      </c>
      <c r="G8" s="90" t="b">
        <f t="shared" si="0"/>
        <v>0</v>
      </c>
      <c r="H8" s="90" t="b">
        <f t="shared" si="0"/>
        <v>0</v>
      </c>
      <c r="I8" s="90" t="b">
        <f t="shared" si="0"/>
        <v>0</v>
      </c>
      <c r="J8" s="90" t="b">
        <f t="shared" si="0"/>
        <v>0</v>
      </c>
      <c r="K8" s="90" t="b">
        <f t="shared" si="0"/>
        <v>0</v>
      </c>
      <c r="M8" s="149"/>
      <c r="N8" s="106" t="s">
        <v>157</v>
      </c>
      <c r="O8" s="85"/>
      <c r="P8" s="85"/>
      <c r="Q8" s="85"/>
      <c r="R8" s="85"/>
      <c r="S8" s="85"/>
      <c r="T8" s="85"/>
      <c r="U8" s="85"/>
      <c r="V8" s="85"/>
      <c r="W8" s="85"/>
      <c r="X8" s="85"/>
    </row>
    <row r="9" spans="1:24" x14ac:dyDescent="0.25">
      <c r="A9" s="143"/>
      <c r="B9" s="52" t="b">
        <f t="shared" ref="B9:K9" si="1">NOT(AND(BothOrNeither($M8,O9),IsValidOldestPendingDays(O9,N9,O8)))</f>
        <v>0</v>
      </c>
      <c r="C9" s="90" t="b">
        <f t="shared" si="1"/>
        <v>0</v>
      </c>
      <c r="D9" s="90" t="b">
        <f t="shared" si="1"/>
        <v>0</v>
      </c>
      <c r="E9" s="90" t="b">
        <f t="shared" si="1"/>
        <v>0</v>
      </c>
      <c r="F9" s="90" t="b">
        <f t="shared" si="1"/>
        <v>0</v>
      </c>
      <c r="G9" s="90" t="b">
        <f t="shared" si="1"/>
        <v>0</v>
      </c>
      <c r="H9" s="90" t="b">
        <f t="shared" si="1"/>
        <v>0</v>
      </c>
      <c r="I9" s="90" t="b">
        <f t="shared" si="1"/>
        <v>0</v>
      </c>
      <c r="J9" s="90" t="b">
        <f t="shared" si="1"/>
        <v>0</v>
      </c>
      <c r="K9" s="90" t="b">
        <f t="shared" si="1"/>
        <v>0</v>
      </c>
      <c r="M9" s="150"/>
      <c r="N9" s="106" t="s">
        <v>113</v>
      </c>
      <c r="O9" s="86"/>
      <c r="P9" s="86"/>
      <c r="Q9" s="86"/>
      <c r="R9" s="86"/>
      <c r="S9" s="86"/>
      <c r="T9" s="86"/>
      <c r="U9" s="86"/>
      <c r="V9" s="86"/>
      <c r="W9" s="86"/>
      <c r="X9" s="86"/>
    </row>
    <row r="10" spans="1:24" x14ac:dyDescent="0.25">
      <c r="A10" s="143" t="b">
        <f>FALSE</f>
        <v>0</v>
      </c>
      <c r="B10" s="52" t="b">
        <f>NOT(IsValidOldestDate(O10,N10))</f>
        <v>0</v>
      </c>
      <c r="C10" s="90" t="b">
        <f t="shared" ref="C10:K10" si="2">NOT(IsValidOldestDate(P10,O10))</f>
        <v>0</v>
      </c>
      <c r="D10" s="90" t="b">
        <f t="shared" si="2"/>
        <v>0</v>
      </c>
      <c r="E10" s="90" t="b">
        <f t="shared" si="2"/>
        <v>0</v>
      </c>
      <c r="F10" s="90" t="b">
        <f t="shared" si="2"/>
        <v>0</v>
      </c>
      <c r="G10" s="90" t="b">
        <f t="shared" si="2"/>
        <v>0</v>
      </c>
      <c r="H10" s="90" t="b">
        <f t="shared" si="2"/>
        <v>0</v>
      </c>
      <c r="I10" s="90" t="b">
        <f t="shared" si="2"/>
        <v>0</v>
      </c>
      <c r="J10" s="90" t="b">
        <f t="shared" si="2"/>
        <v>0</v>
      </c>
      <c r="K10" s="90" t="b">
        <f t="shared" si="2"/>
        <v>0</v>
      </c>
      <c r="M10" s="138" t="s">
        <v>48</v>
      </c>
      <c r="N10" s="1" t="s">
        <v>157</v>
      </c>
      <c r="O10" s="85"/>
      <c r="P10" s="85"/>
      <c r="Q10" s="85"/>
      <c r="R10" s="85"/>
      <c r="S10" s="85"/>
      <c r="T10" s="85"/>
      <c r="U10" s="85"/>
      <c r="V10" s="85"/>
      <c r="W10" s="85"/>
      <c r="X10" s="85"/>
    </row>
    <row r="11" spans="1:24" x14ac:dyDescent="0.25">
      <c r="A11" s="143"/>
      <c r="B11" s="52" t="b">
        <f>NOT(IsValidOldestPendingDays(O11,N11,O10))</f>
        <v>0</v>
      </c>
      <c r="C11" s="90" t="b">
        <f t="shared" ref="C11:K11" si="3">NOT(IsValidOldestPendingDays(P11,O11,P10))</f>
        <v>0</v>
      </c>
      <c r="D11" s="90" t="b">
        <f t="shared" si="3"/>
        <v>0</v>
      </c>
      <c r="E11" s="90" t="b">
        <f t="shared" si="3"/>
        <v>0</v>
      </c>
      <c r="F11" s="90" t="b">
        <f t="shared" si="3"/>
        <v>0</v>
      </c>
      <c r="G11" s="90" t="b">
        <f t="shared" si="3"/>
        <v>0</v>
      </c>
      <c r="H11" s="90" t="b">
        <f t="shared" si="3"/>
        <v>0</v>
      </c>
      <c r="I11" s="90" t="b">
        <f t="shared" si="3"/>
        <v>0</v>
      </c>
      <c r="J11" s="90" t="b">
        <f t="shared" si="3"/>
        <v>0</v>
      </c>
      <c r="K11" s="90" t="b">
        <f t="shared" si="3"/>
        <v>0</v>
      </c>
      <c r="M11" s="139"/>
      <c r="N11" s="1" t="s">
        <v>113</v>
      </c>
      <c r="O11" s="86"/>
      <c r="P11" s="86"/>
      <c r="Q11" s="86"/>
      <c r="R11" s="86"/>
      <c r="S11" s="86"/>
      <c r="T11" s="86"/>
      <c r="U11" s="86"/>
      <c r="V11" s="86"/>
      <c r="W11" s="86"/>
      <c r="X11" s="86"/>
    </row>
    <row r="12" spans="1:24" x14ac:dyDescent="0.25">
      <c r="A12" s="15" t="b">
        <f>OR(A8:K11)</f>
        <v>0</v>
      </c>
    </row>
    <row r="14" spans="1:24" ht="18.75" x14ac:dyDescent="0.3">
      <c r="M14" s="51" t="s">
        <v>30</v>
      </c>
      <c r="N14" s="10"/>
    </row>
    <row r="15" spans="1:24" x14ac:dyDescent="0.25">
      <c r="M15" s="148"/>
      <c r="N15" s="148"/>
      <c r="O15" s="148"/>
      <c r="P15" s="148"/>
      <c r="Q15" s="148"/>
      <c r="R15" s="148"/>
      <c r="S15" s="148"/>
      <c r="T15" s="148"/>
      <c r="U15" s="148"/>
      <c r="V15" s="148"/>
      <c r="W15" s="148"/>
      <c r="X15" s="148"/>
    </row>
    <row r="16" spans="1:24" ht="15" customHeight="1" x14ac:dyDescent="0.25">
      <c r="M16" s="122"/>
      <c r="N16" s="123"/>
      <c r="O16" s="123"/>
      <c r="P16" s="123"/>
      <c r="Q16" s="123"/>
      <c r="R16" s="123"/>
      <c r="S16" s="123"/>
      <c r="T16" s="123"/>
      <c r="U16" s="123"/>
      <c r="V16" s="123"/>
      <c r="W16" s="123"/>
      <c r="X16" s="124"/>
    </row>
    <row r="17" spans="13:24" ht="15" customHeight="1" x14ac:dyDescent="0.25">
      <c r="M17" s="122"/>
      <c r="N17" s="123"/>
      <c r="O17" s="123"/>
      <c r="P17" s="123"/>
      <c r="Q17" s="123"/>
      <c r="R17" s="123"/>
      <c r="S17" s="123"/>
      <c r="T17" s="123"/>
      <c r="U17" s="123"/>
      <c r="V17" s="123"/>
      <c r="W17" s="123"/>
      <c r="X17" s="124"/>
    </row>
    <row r="18" spans="13:24" x14ac:dyDescent="0.25">
      <c r="M18" s="148"/>
      <c r="N18" s="148"/>
      <c r="O18" s="148"/>
      <c r="P18" s="148"/>
      <c r="Q18" s="148"/>
      <c r="R18" s="148"/>
      <c r="S18" s="148"/>
      <c r="T18" s="148"/>
      <c r="U18" s="148"/>
      <c r="V18" s="148"/>
      <c r="W18" s="148"/>
      <c r="X18" s="148"/>
    </row>
  </sheetData>
  <sheetProtection sheet="1" objects="1" scenarios="1" selectLockedCells="1"/>
  <mergeCells count="10">
    <mergeCell ref="M16:X16"/>
    <mergeCell ref="M17:X17"/>
    <mergeCell ref="M15:X15"/>
    <mergeCell ref="M18:X18"/>
    <mergeCell ref="M5:R5"/>
    <mergeCell ref="A8:A9"/>
    <mergeCell ref="M8:M9"/>
    <mergeCell ref="A10:A11"/>
    <mergeCell ref="M10:M11"/>
    <mergeCell ref="M3:X3"/>
  </mergeCells>
  <conditionalFormatting sqref="O8:X11">
    <cfRule type="expression" dxfId="16" priority="2" stopIfTrue="1">
      <formula>B8</formula>
    </cfRule>
  </conditionalFormatting>
  <conditionalFormatting sqref="M8:M9">
    <cfRule type="expression" dxfId="15" priority="1" stopIfTrue="1">
      <formula>A8</formula>
    </cfRule>
  </conditionalFormatting>
  <dataValidations count="1">
    <dataValidation type="list" showErrorMessage="1" error="Please choose or enter a component abbreviation set up on the Agency Information worksheet." sqref="M8:M9">
      <formula1>ComponentAbbrevNoAgency</formula1>
    </dataValidation>
  </dataValidations>
  <pageMargins left="0.7" right="0.7" top="0.75" bottom="0.75" header="0.3" footer="0.3"/>
  <pageSetup orientation="portrait" horizont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ExpeditedProcessing"/>
  <dimension ref="A1:Q16"/>
  <sheetViews>
    <sheetView showRowColHeaders="0" topLeftCell="G2" workbookViewId="0">
      <selection activeCell="H8" sqref="H8"/>
    </sheetView>
  </sheetViews>
  <sheetFormatPr defaultRowHeight="15" x14ac:dyDescent="0.25"/>
  <cols>
    <col min="1" max="1" width="10.7109375" style="15" hidden="1" customWidth="1"/>
    <col min="2" max="6" width="8.7109375" style="15" hidden="1" customWidth="1"/>
    <col min="7" max="7" width="3.7109375" style="15" customWidth="1"/>
    <col min="8" max="13" width="15.7109375" style="15" customWidth="1"/>
    <col min="14" max="16384" width="9.140625" style="15"/>
  </cols>
  <sheetData>
    <row r="1" spans="1:17" s="44" customFormat="1" ht="30" hidden="1" x14ac:dyDescent="0.25">
      <c r="A1" s="44" t="s">
        <v>19</v>
      </c>
      <c r="B1" s="57" t="s">
        <v>160</v>
      </c>
      <c r="C1" s="57" t="s">
        <v>161</v>
      </c>
      <c r="D1" s="57" t="s">
        <v>165</v>
      </c>
      <c r="E1" s="57" t="s">
        <v>166</v>
      </c>
      <c r="F1" s="57" t="s">
        <v>167</v>
      </c>
    </row>
    <row r="2" spans="1:17" s="82" customFormat="1" ht="9.9499999999999993" customHeight="1" x14ac:dyDescent="0.25"/>
    <row r="3" spans="1:17" s="82" customFormat="1" ht="105.75" customHeight="1" x14ac:dyDescent="0.25">
      <c r="H3" s="145" t="s">
        <v>259</v>
      </c>
      <c r="I3" s="146"/>
      <c r="J3" s="146"/>
      <c r="K3" s="146"/>
      <c r="L3" s="146"/>
      <c r="M3" s="146"/>
      <c r="N3" s="84"/>
      <c r="O3" s="84"/>
      <c r="P3" s="84"/>
      <c r="Q3" s="84"/>
    </row>
    <row r="5" spans="1:17" ht="18.75" x14ac:dyDescent="0.3">
      <c r="H5" s="129" t="s">
        <v>159</v>
      </c>
      <c r="I5" s="129"/>
      <c r="J5" s="129"/>
      <c r="K5" s="10"/>
      <c r="L5" s="10"/>
      <c r="M5" s="10"/>
    </row>
    <row r="7" spans="1:17" ht="36" x14ac:dyDescent="0.25">
      <c r="H7" s="101" t="s">
        <v>283</v>
      </c>
      <c r="I7" s="54" t="s">
        <v>160</v>
      </c>
      <c r="J7" s="54" t="s">
        <v>161</v>
      </c>
      <c r="K7" s="54" t="s">
        <v>162</v>
      </c>
      <c r="L7" s="54" t="s">
        <v>163</v>
      </c>
      <c r="M7" s="54" t="s">
        <v>164</v>
      </c>
    </row>
    <row r="8" spans="1:17" x14ac:dyDescent="0.25">
      <c r="A8" s="15" t="b">
        <f>OR(COUNTIF($H$8:$H$10,H8)&gt;1,AND(NOT(ISBLANK(H8)),ISNA(MATCH(H8,ComponentAbbrevNoAgency,0))))</f>
        <v>0</v>
      </c>
      <c r="B8" s="15" t="b">
        <f>OR(AND(ISBLANK($H8),NOT(ISBLANK(I8))),AND(NOT(ISBLANK($H8)),NOT(IsNonNegativeInteger(I8))))</f>
        <v>0</v>
      </c>
      <c r="C8" s="66" t="b">
        <f>OR(AND(ISBLANK($H8),NOT(ISBLANK(J8))),AND(NOT(ISBLANK($H8)),NOT(IsNonNegativeInteger(J8))))</f>
        <v>0</v>
      </c>
      <c r="D8" s="66" t="b">
        <f>OR(AND(ISBLANK($H8),NOT(ISBLANK(K8))),AND(NOT(ISBLANK($H8)),NOT(IsNonNegativeDecimal(K8,FALSE,TRUE))))</f>
        <v>0</v>
      </c>
      <c r="E8" s="66" t="b">
        <f>OR(AND(ISBLANK($H8),NOT(ISBLANK(L8))),AND(NOT(ISBLANK($H8)),NOT(IsNonNegativeDecimal(L8,FALSE,TRUE))))</f>
        <v>0</v>
      </c>
      <c r="F8" s="66" t="b">
        <f>OR(AND(ISBLANK($H8),NOT(ISBLANK(M8))),AND(NOT(ISBLANK($H8)),NOT(IsNonNegativeInteger(M8,FALSE,TRUE))))</f>
        <v>0</v>
      </c>
      <c r="H8" s="105"/>
      <c r="I8" s="16"/>
      <c r="J8" s="16"/>
      <c r="K8" s="47"/>
      <c r="L8" s="47"/>
      <c r="M8" s="47"/>
    </row>
    <row r="9" spans="1:17" x14ac:dyDescent="0.25">
      <c r="A9" s="15" t="b">
        <f>OR(COUNTIF($H$8:$H$10,H9)&gt;1,AND(NOT(ISBLANK(H9)),ISNA(MATCH(H9,ComponentAbbrevNoAgency,0))))</f>
        <v>0</v>
      </c>
      <c r="B9" s="66" t="b">
        <f>OR(AND(ISBLANK($H9),NOT(ISBLANK(I9))),AND(NOT(ISBLANK($H9)),NOT(IsNonNegativeInteger(I9))))</f>
        <v>0</v>
      </c>
      <c r="C9" s="66" t="b">
        <f>OR(AND(ISBLANK($H9),NOT(ISBLANK(J9))),AND(NOT(ISBLANK($H9)),NOT(IsNonNegativeInteger(J9))))</f>
        <v>0</v>
      </c>
      <c r="D9" s="66" t="b">
        <f>OR(AND(ISBLANK($H9),NOT(ISBLANK(K9))),AND(NOT(ISBLANK($H9)),NOT(IsNonNegativeDecimal(K9,FALSE,TRUE))))</f>
        <v>0</v>
      </c>
      <c r="E9" s="66" t="b">
        <f>OR(AND(ISBLANK($H9),NOT(ISBLANK(L9))),AND(NOT(ISBLANK($H9)),NOT(IsNonNegativeDecimal(L9,FALSE,TRUE))))</f>
        <v>0</v>
      </c>
      <c r="F9" s="66" t="b">
        <f>OR(AND(ISBLANK($H9),NOT(ISBLANK(M9))),AND(NOT(ISBLANK($H9)),NOT(IsNonNegativeInteger(M9,FALSE,TRUE))))</f>
        <v>0</v>
      </c>
      <c r="H9" s="105"/>
      <c r="I9" s="16"/>
      <c r="J9" s="16"/>
      <c r="K9" s="47"/>
      <c r="L9" s="47"/>
      <c r="M9" s="47"/>
    </row>
    <row r="10" spans="1:17" x14ac:dyDescent="0.25">
      <c r="B10" s="15" t="b">
        <f>NOT(IsNonNegativeInteger(I10))</f>
        <v>1</v>
      </c>
      <c r="C10" s="66" t="b">
        <f>NOT(IsNonNegativeInteger(J10))</f>
        <v>1</v>
      </c>
      <c r="D10" s="66" t="b">
        <f>NOT(IsNonNegativeDecimal(K10,FALSE,TRUE))</f>
        <v>1</v>
      </c>
      <c r="E10" s="66" t="b">
        <f>NOT(IsNonNegativeDecimal(L10,FALSE,TRUE))</f>
        <v>1</v>
      </c>
      <c r="F10" s="66" t="b">
        <f>NOT(IsNonNegativeInteger(M10,FALSE,TRUE))</f>
        <v>1</v>
      </c>
      <c r="H10" s="1" t="s">
        <v>48</v>
      </c>
      <c r="I10" s="16"/>
      <c r="J10" s="16"/>
      <c r="K10" s="47"/>
      <c r="L10" s="47"/>
      <c r="M10" s="47"/>
    </row>
    <row r="11" spans="1:17" x14ac:dyDescent="0.25">
      <c r="A11" s="15" t="b">
        <f>COUNTIF(A8:F10,TRUE)&lt;&gt;0</f>
        <v>1</v>
      </c>
    </row>
    <row r="12" spans="1:17" ht="15.75" x14ac:dyDescent="0.25">
      <c r="H12" s="53" t="s">
        <v>30</v>
      </c>
    </row>
    <row r="13" spans="1:17" x14ac:dyDescent="0.25">
      <c r="H13" s="128"/>
      <c r="I13" s="128"/>
      <c r="J13" s="128"/>
      <c r="K13" s="128"/>
      <c r="L13" s="128"/>
      <c r="M13" s="128"/>
    </row>
    <row r="14" spans="1:17" ht="15" customHeight="1" x14ac:dyDescent="0.25">
      <c r="H14" s="153"/>
      <c r="I14" s="154"/>
      <c r="J14" s="154"/>
      <c r="K14" s="154"/>
      <c r="L14" s="154"/>
      <c r="M14" s="154"/>
    </row>
    <row r="15" spans="1:17" ht="15" customHeight="1" x14ac:dyDescent="0.25">
      <c r="H15" s="154"/>
      <c r="I15" s="154"/>
      <c r="J15" s="154"/>
      <c r="K15" s="154"/>
      <c r="L15" s="154"/>
      <c r="M15" s="154"/>
    </row>
    <row r="16" spans="1:17" x14ac:dyDescent="0.25">
      <c r="H16" s="121"/>
      <c r="I16" s="121"/>
      <c r="J16" s="121"/>
      <c r="K16" s="121"/>
      <c r="L16" s="121"/>
      <c r="M16" s="121"/>
    </row>
  </sheetData>
  <sheetProtection sheet="1" objects="1" scenarios="1" selectLockedCells="1"/>
  <mergeCells count="6">
    <mergeCell ref="H3:M3"/>
    <mergeCell ref="H13:M13"/>
    <mergeCell ref="H14:M14"/>
    <mergeCell ref="H15:M15"/>
    <mergeCell ref="H16:M16"/>
    <mergeCell ref="H5:J5"/>
  </mergeCells>
  <conditionalFormatting sqref="H8:H9">
    <cfRule type="expression" dxfId="14" priority="4" stopIfTrue="1">
      <formula>$A8</formula>
    </cfRule>
  </conditionalFormatting>
  <conditionalFormatting sqref="I8:M10">
    <cfRule type="expression" dxfId="13" priority="1" stopIfTrue="1">
      <formula>B8</formula>
    </cfRule>
  </conditionalFormatting>
  <dataValidations count="1">
    <dataValidation type="list" showErrorMessage="1" error="Please choose or enter a component abbreviation set up on the Agency Information worksheet." sqref="H8:H9">
      <formula1>ComponentAbbrevNoAgency</formula1>
    </dataValidation>
  </dataValidations>
  <pageMargins left="0.7" right="0.7" top="0.75" bottom="0.75" header="0.3" footer="0.3"/>
  <pageSetup orientation="portrait" horizont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FeeWaiver"/>
  <dimension ref="A1:L16"/>
  <sheetViews>
    <sheetView showRowColHeaders="0" topLeftCell="F2" workbookViewId="0">
      <selection activeCell="G8" sqref="G8"/>
    </sheetView>
  </sheetViews>
  <sheetFormatPr defaultRowHeight="15" x14ac:dyDescent="0.25"/>
  <cols>
    <col min="1" max="5" width="14.42578125" style="15" hidden="1" customWidth="1"/>
    <col min="6" max="6" width="3.7109375" style="15" customWidth="1"/>
    <col min="7" max="11" width="15.7109375" style="15" customWidth="1"/>
    <col min="12" max="16384" width="9.140625" style="15"/>
  </cols>
  <sheetData>
    <row r="1" spans="1:12" s="44" customFormat="1" ht="30" hidden="1" x14ac:dyDescent="0.25">
      <c r="A1" s="44" t="s">
        <v>19</v>
      </c>
      <c r="B1" s="57" t="s">
        <v>160</v>
      </c>
      <c r="C1" s="57" t="s">
        <v>161</v>
      </c>
      <c r="D1" s="57" t="s">
        <v>165</v>
      </c>
      <c r="E1" s="57" t="s">
        <v>166</v>
      </c>
    </row>
    <row r="2" spans="1:12" s="82" customFormat="1" ht="9.9499999999999993" customHeight="1" x14ac:dyDescent="0.25"/>
    <row r="3" spans="1:12" s="82" customFormat="1" ht="82.5" customHeight="1" x14ac:dyDescent="0.25">
      <c r="G3" s="145" t="s">
        <v>260</v>
      </c>
      <c r="H3" s="146"/>
      <c r="I3" s="146"/>
      <c r="J3" s="146"/>
      <c r="K3" s="146"/>
      <c r="L3" s="146"/>
    </row>
    <row r="5" spans="1:12" ht="18.75" x14ac:dyDescent="0.3">
      <c r="G5" s="129" t="s">
        <v>169</v>
      </c>
      <c r="H5" s="129"/>
      <c r="I5" s="10"/>
      <c r="J5" s="10"/>
      <c r="K5" s="10"/>
    </row>
    <row r="7" spans="1:12" ht="24" x14ac:dyDescent="0.25">
      <c r="G7" s="101" t="s">
        <v>283</v>
      </c>
      <c r="H7" s="54" t="s">
        <v>160</v>
      </c>
      <c r="I7" s="54" t="s">
        <v>161</v>
      </c>
      <c r="J7" s="54" t="s">
        <v>162</v>
      </c>
      <c r="K7" s="54" t="s">
        <v>163</v>
      </c>
    </row>
    <row r="8" spans="1:12" x14ac:dyDescent="0.25">
      <c r="A8" s="15" t="b">
        <f>OR(COUNTIF($G$8:$G$10,G8)&gt;1,AND(NOT(ISBLANK(G8)),ISNA(MATCH(G8,ComponentAbbrevNoAgency,0))))</f>
        <v>0</v>
      </c>
      <c r="B8" s="15" t="b">
        <f>OR(AND(ISBLANK($G8),NOT(ISBLANK(H8))),AND(NOT(ISBLANK($G8)),NOT(IsNonNegativeInteger(H8))))</f>
        <v>0</v>
      </c>
      <c r="C8" s="66" t="b">
        <f>OR(AND(ISBLANK($G8),NOT(ISBLANK(I8))),AND(NOT(ISBLANK($G8)),NOT(IsNonNegativeInteger(I8))))</f>
        <v>0</v>
      </c>
      <c r="D8" s="15" t="b">
        <f>OR(AND(ISBLANK($G8),NOT(ISBLANK(J8))),AND(NOT(ISBLANK($G8)),NOT(IsNonNegativeDecimal(J8,FALSE,TRUE))))</f>
        <v>0</v>
      </c>
      <c r="E8" s="66" t="b">
        <f>OR(AND(ISBLANK($G8),NOT(ISBLANK(K8))),AND(NOT(ISBLANK($G8)),NOT(IsNonNegativeDecimal(K8,FALSE,TRUE))))</f>
        <v>0</v>
      </c>
      <c r="G8" s="105"/>
      <c r="H8" s="16"/>
      <c r="I8" s="16"/>
      <c r="J8" s="47"/>
      <c r="K8" s="47"/>
    </row>
    <row r="9" spans="1:12" x14ac:dyDescent="0.25">
      <c r="A9" s="15" t="b">
        <f>OR(COUNTIF($G$8:$G$10,G9)&gt;1,AND(NOT(ISBLANK(G9)),ISNA(MATCH(G9,ComponentAbbrevNoAgency,0))))</f>
        <v>0</v>
      </c>
      <c r="B9" s="66" t="b">
        <f>OR(AND(ISBLANK($G9),NOT(ISBLANK(H9))),AND(NOT(ISBLANK($G9)),NOT(IsNonNegativeInteger(H9))))</f>
        <v>0</v>
      </c>
      <c r="C9" s="66" t="b">
        <f>OR(AND(ISBLANK($G9),NOT(ISBLANK(I9))),AND(NOT(ISBLANK($G9)),NOT(IsNonNegativeInteger(I9))))</f>
        <v>0</v>
      </c>
      <c r="D9" s="66" t="b">
        <f>OR(AND(ISBLANK($G9),NOT(ISBLANK(J9))),AND(NOT(ISBLANK($G9)),NOT(IsNonNegativeDecimal(J9,FALSE,TRUE))))</f>
        <v>0</v>
      </c>
      <c r="E9" s="66" t="b">
        <f>OR(AND(ISBLANK($G9),NOT(ISBLANK(K9))),AND(NOT(ISBLANK($G9)),NOT(IsNonNegativeDecimal(K9,FALSE,TRUE))))</f>
        <v>0</v>
      </c>
      <c r="G9" s="105"/>
      <c r="H9" s="16"/>
      <c r="I9" s="16"/>
      <c r="J9" s="47"/>
      <c r="K9" s="47"/>
    </row>
    <row r="10" spans="1:12" x14ac:dyDescent="0.25">
      <c r="A10" s="15" t="b">
        <f>FALSE</f>
        <v>0</v>
      </c>
      <c r="B10" s="15" t="b">
        <f>NOT(IsNonNegativeInteger(H10))</f>
        <v>1</v>
      </c>
      <c r="C10" s="66" t="b">
        <f>NOT(IsNonNegativeInteger(I10))</f>
        <v>1</v>
      </c>
      <c r="D10" s="15" t="b">
        <f>NOT(IsNonNegativeDecimal(J10,FALSE,TRUE))</f>
        <v>1</v>
      </c>
      <c r="E10" s="66" t="b">
        <f>NOT(IsNonNegativeDecimal(K10,FALSE,TRUE))</f>
        <v>1</v>
      </c>
      <c r="G10" s="1" t="s">
        <v>48</v>
      </c>
      <c r="H10" s="16"/>
      <c r="I10" s="16"/>
      <c r="J10" s="47"/>
      <c r="K10" s="47"/>
    </row>
    <row r="11" spans="1:12" x14ac:dyDescent="0.25">
      <c r="A11" s="15" t="b">
        <f>COUNTIF(A8:E10,TRUE)&lt;&gt;0</f>
        <v>1</v>
      </c>
    </row>
    <row r="12" spans="1:12" ht="15.75" x14ac:dyDescent="0.25">
      <c r="G12" s="53" t="s">
        <v>30</v>
      </c>
    </row>
    <row r="13" spans="1:12" x14ac:dyDescent="0.25">
      <c r="G13" s="128"/>
      <c r="H13" s="128"/>
      <c r="I13" s="128"/>
      <c r="J13" s="128"/>
      <c r="K13" s="128"/>
    </row>
    <row r="14" spans="1:12" ht="15" customHeight="1" x14ac:dyDescent="0.25">
      <c r="G14" s="122"/>
      <c r="H14" s="123"/>
      <c r="I14" s="123"/>
      <c r="J14" s="123"/>
      <c r="K14" s="124"/>
    </row>
    <row r="15" spans="1:12" ht="15" customHeight="1" x14ac:dyDescent="0.25">
      <c r="G15" s="122"/>
      <c r="H15" s="123"/>
      <c r="I15" s="123"/>
      <c r="J15" s="123"/>
      <c r="K15" s="124"/>
    </row>
    <row r="16" spans="1:12" x14ac:dyDescent="0.25">
      <c r="G16" s="121"/>
      <c r="H16" s="121"/>
      <c r="I16" s="121"/>
      <c r="J16" s="121"/>
      <c r="K16" s="121"/>
    </row>
  </sheetData>
  <sheetProtection sheet="1" objects="1" scenarios="1" selectLockedCells="1"/>
  <mergeCells count="6">
    <mergeCell ref="G3:L3"/>
    <mergeCell ref="G13:K13"/>
    <mergeCell ref="G14:K14"/>
    <mergeCell ref="G15:K15"/>
    <mergeCell ref="G16:K16"/>
    <mergeCell ref="G5:H5"/>
  </mergeCells>
  <conditionalFormatting sqref="G8:G9">
    <cfRule type="expression" dxfId="12" priority="2" stopIfTrue="1">
      <formula>$A8</formula>
    </cfRule>
  </conditionalFormatting>
  <conditionalFormatting sqref="H8:K10">
    <cfRule type="expression" dxfId="11" priority="1" stopIfTrue="1">
      <formula>B8</formula>
    </cfRule>
  </conditionalFormatting>
  <dataValidations count="1">
    <dataValidation type="list" showErrorMessage="1" error="Please choose or enter a component abbreviation set up on the Agency Information worksheet." sqref="G8:G9">
      <formula1>ComponentAbbrevNoAgency</formula1>
    </dataValidation>
  </dataValidations>
  <pageMargins left="0.7" right="0.7" top="0.75" bottom="0.75" header="0.3" footer="0.3"/>
  <pageSetup orientation="portrait" horizontalDpi="3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PersonnelAndCost"/>
  <dimension ref="A1:U17"/>
  <sheetViews>
    <sheetView showRowColHeaders="0" topLeftCell="F2" workbookViewId="0">
      <selection activeCell="G9" sqref="G9"/>
    </sheetView>
  </sheetViews>
  <sheetFormatPr defaultRowHeight="15" x14ac:dyDescent="0.25"/>
  <cols>
    <col min="1" max="1" width="10.7109375" style="15" hidden="1" customWidth="1"/>
    <col min="2" max="5" width="8.7109375" style="15" hidden="1" customWidth="1"/>
    <col min="6" max="6" width="3.7109375" style="15" customWidth="1"/>
    <col min="7" max="13" width="15.7109375" style="15" customWidth="1"/>
    <col min="14" max="16384" width="9.140625" style="15"/>
  </cols>
  <sheetData>
    <row r="1" spans="1:21" s="57" customFormat="1" ht="30" hidden="1" x14ac:dyDescent="0.25">
      <c r="A1" s="57" t="s">
        <v>19</v>
      </c>
      <c r="B1" s="61" t="s">
        <v>180</v>
      </c>
      <c r="C1" s="61" t="s">
        <v>181</v>
      </c>
      <c r="D1" s="61" t="s">
        <v>182</v>
      </c>
      <c r="E1" s="61" t="s">
        <v>183</v>
      </c>
    </row>
    <row r="2" spans="1:21" s="82" customFormat="1" ht="9.9499999999999993" customHeight="1" x14ac:dyDescent="0.25"/>
    <row r="3" spans="1:21" s="82" customFormat="1" ht="15" customHeight="1" x14ac:dyDescent="0.25">
      <c r="G3" s="145" t="s">
        <v>241</v>
      </c>
      <c r="H3" s="146"/>
      <c r="I3" s="146"/>
      <c r="J3" s="146"/>
      <c r="K3" s="146"/>
      <c r="L3" s="146"/>
      <c r="M3" s="147"/>
      <c r="N3" s="84"/>
      <c r="O3" s="84"/>
      <c r="P3" s="84"/>
      <c r="Q3" s="84"/>
      <c r="R3" s="84"/>
      <c r="S3" s="84"/>
      <c r="T3" s="84"/>
      <c r="U3" s="84"/>
    </row>
    <row r="5" spans="1:21" ht="18.75" x14ac:dyDescent="0.3">
      <c r="G5" s="129" t="s">
        <v>171</v>
      </c>
      <c r="H5" s="129"/>
      <c r="I5" s="10"/>
      <c r="J5" s="10"/>
      <c r="K5" s="10"/>
      <c r="L5" s="10"/>
      <c r="M5" s="10"/>
    </row>
    <row r="7" spans="1:21" ht="30" customHeight="1" x14ac:dyDescent="0.25">
      <c r="G7" s="140" t="s">
        <v>283</v>
      </c>
      <c r="H7" s="132" t="s">
        <v>172</v>
      </c>
      <c r="I7" s="133"/>
      <c r="J7" s="134"/>
      <c r="K7" s="132" t="s">
        <v>173</v>
      </c>
      <c r="L7" s="133"/>
      <c r="M7" s="134"/>
    </row>
    <row r="8" spans="1:21" ht="48" x14ac:dyDescent="0.25">
      <c r="G8" s="141"/>
      <c r="H8" s="56" t="s">
        <v>174</v>
      </c>
      <c r="I8" s="56" t="s">
        <v>175</v>
      </c>
      <c r="J8" s="56" t="s">
        <v>176</v>
      </c>
      <c r="K8" s="56" t="s">
        <v>177</v>
      </c>
      <c r="L8" s="56" t="s">
        <v>178</v>
      </c>
      <c r="M8" s="56" t="s">
        <v>179</v>
      </c>
    </row>
    <row r="9" spans="1:21" x14ac:dyDescent="0.25">
      <c r="A9" s="15" t="b">
        <f>OR(COUNTIF($G$9:$G$11,G9)&gt;1,AND(NOT(ISBLANK(G9)),ISNA(MATCH(G9,ComponentAbbreviation,0))))</f>
        <v>0</v>
      </c>
      <c r="B9" s="15" t="b">
        <f>OR(AND(ISBLANK($G9),NOT(ISBLANK(H9))),AND(NOT(ISBLANK($G9)),NOT(IsNonNegativeDecimal(H9))))</f>
        <v>0</v>
      </c>
      <c r="C9" s="66" t="b">
        <f>OR(AND(ISBLANK($G9),NOT(ISBLANK(I9))),AND(NOT(ISBLANK($G9)),NOT(IsNonNegativeDecimal(I9))))</f>
        <v>0</v>
      </c>
      <c r="D9" s="66" t="b">
        <f>OR(AND(ISBLANK($G9),NOT(ISBLANK(K9))),AND(NOT(ISBLANK($G9)),NOT(IsNonNegativeDecimal(K9))))</f>
        <v>0</v>
      </c>
      <c r="E9" s="66" t="b">
        <f>OR(AND(ISBLANK($G9),NOT(ISBLANK(L9))),AND(NOT(ISBLANK($G9)),NOT(IsNonNegativeDecimal(L9))))</f>
        <v>0</v>
      </c>
      <c r="G9" s="105" t="s">
        <v>295</v>
      </c>
      <c r="H9" s="47">
        <v>0</v>
      </c>
      <c r="I9" s="47">
        <v>0.1</v>
      </c>
      <c r="J9" s="62">
        <f>SUM(H9:I9)</f>
        <v>0.1</v>
      </c>
      <c r="K9" s="59">
        <v>8900</v>
      </c>
      <c r="L9" s="59">
        <v>0</v>
      </c>
      <c r="M9" s="60">
        <f>SUM(K9:L9)</f>
        <v>8900</v>
      </c>
    </row>
    <row r="10" spans="1:21" x14ac:dyDescent="0.25">
      <c r="A10" s="15" t="b">
        <f>OR(COUNTIF($G$9:$G$11,G10)&gt;1,AND(NOT(ISBLANK(G10)),ISNA(MATCH(G10,ComponentAbbreviation,0))))</f>
        <v>0</v>
      </c>
      <c r="B10" s="66" t="b">
        <f>OR(AND(ISBLANK($G10),NOT(ISBLANK(H10))),AND(NOT(ISBLANK($G10)),NOT(IsNonNegativeDecimal(H10))))</f>
        <v>0</v>
      </c>
      <c r="C10" s="66" t="b">
        <f>OR(AND(ISBLANK($G10),NOT(ISBLANK(I10))),AND(NOT(ISBLANK($G10)),NOT(IsNonNegativeDecimal(I10))))</f>
        <v>0</v>
      </c>
      <c r="D10" s="66" t="b">
        <f>OR(AND(ISBLANK($G10),NOT(ISBLANK(K10))),AND(NOT(ISBLANK($G10)),NOT(IsNonNegativeDecimal(K10))))</f>
        <v>0</v>
      </c>
      <c r="E10" s="66" t="b">
        <f>OR(AND(ISBLANK($G10),NOT(ISBLANK(L10))),AND(NOT(ISBLANK($G10)),NOT(IsNonNegativeDecimal(L10))))</f>
        <v>0</v>
      </c>
      <c r="G10" s="105"/>
      <c r="H10" s="47"/>
      <c r="I10" s="47"/>
      <c r="J10" s="62">
        <f>SUM(H10:I10)</f>
        <v>0</v>
      </c>
      <c r="K10" s="59"/>
      <c r="L10" s="59"/>
      <c r="M10" s="60">
        <f>SUM(K10:L10)</f>
        <v>0</v>
      </c>
    </row>
    <row r="11" spans="1:21" x14ac:dyDescent="0.25">
      <c r="G11" s="1" t="s">
        <v>48</v>
      </c>
      <c r="H11" s="62">
        <f>SUM(H9:ptrCellAbove)</f>
        <v>0</v>
      </c>
      <c r="I11" s="62">
        <f>SUM(I9:ptrCellAbove)</f>
        <v>0.1</v>
      </c>
      <c r="J11" s="62">
        <f>SUM(J9:ptrCellAbove)</f>
        <v>0.1</v>
      </c>
      <c r="K11" s="60">
        <f>SUM(K9:ptrCellAbove)</f>
        <v>8900</v>
      </c>
      <c r="L11" s="60">
        <f>SUM(L9:ptrCellAbove)</f>
        <v>0</v>
      </c>
      <c r="M11" s="60">
        <f>SUM(M9:ptrCellAbove)</f>
        <v>8900</v>
      </c>
    </row>
    <row r="12" spans="1:21" x14ac:dyDescent="0.25">
      <c r="A12" s="15" t="b">
        <f>COUNTIF(A9:E11,TRUE)&lt;&gt;0</f>
        <v>0</v>
      </c>
    </row>
    <row r="13" spans="1:21" ht="15.75" x14ac:dyDescent="0.25">
      <c r="G13" s="55" t="s">
        <v>30</v>
      </c>
    </row>
    <row r="14" spans="1:21" x14ac:dyDescent="0.25">
      <c r="G14" s="128"/>
      <c r="H14" s="128"/>
      <c r="I14" s="128"/>
      <c r="J14" s="128"/>
      <c r="K14" s="128"/>
      <c r="L14" s="128"/>
      <c r="M14" s="128"/>
    </row>
    <row r="15" spans="1:21" ht="15" customHeight="1" x14ac:dyDescent="0.25">
      <c r="G15" s="122"/>
      <c r="H15" s="123"/>
      <c r="I15" s="123"/>
      <c r="J15" s="123"/>
      <c r="K15" s="123"/>
      <c r="L15" s="123"/>
      <c r="M15" s="124"/>
    </row>
    <row r="16" spans="1:21" ht="15" customHeight="1" x14ac:dyDescent="0.25">
      <c r="G16" s="122"/>
      <c r="H16" s="123"/>
      <c r="I16" s="123"/>
      <c r="J16" s="123"/>
      <c r="K16" s="123"/>
      <c r="L16" s="123"/>
      <c r="M16" s="124"/>
    </row>
    <row r="17" spans="7:13" x14ac:dyDescent="0.25">
      <c r="G17" s="121"/>
      <c r="H17" s="121"/>
      <c r="I17" s="121"/>
      <c r="J17" s="121"/>
      <c r="K17" s="121"/>
      <c r="L17" s="121"/>
      <c r="M17" s="121"/>
    </row>
  </sheetData>
  <sheetProtection sheet="1" objects="1" scenarios="1" selectLockedCells="1"/>
  <mergeCells count="9">
    <mergeCell ref="G17:M17"/>
    <mergeCell ref="G7:G8"/>
    <mergeCell ref="H7:J7"/>
    <mergeCell ref="K7:M7"/>
    <mergeCell ref="G3:M3"/>
    <mergeCell ref="G5:H5"/>
    <mergeCell ref="G14:M14"/>
    <mergeCell ref="G15:M15"/>
    <mergeCell ref="G16:M16"/>
  </mergeCells>
  <conditionalFormatting sqref="G9:I10">
    <cfRule type="expression" dxfId="10" priority="3" stopIfTrue="1">
      <formula>A9</formula>
    </cfRule>
  </conditionalFormatting>
  <conditionalFormatting sqref="K9:L10">
    <cfRule type="expression" dxfId="9" priority="1" stopIfTrue="1">
      <formula>D9</formula>
    </cfRule>
  </conditionalFormatting>
  <dataValidations count="1">
    <dataValidation type="list" showErrorMessage="1" error="Please choose or enter a component abbreviation set up on the Agency Information worksheet." sqref="G9:G10">
      <formula1>ComponentAbbreviation</formula1>
    </dataValidation>
  </dataValidations>
  <pageMargins left="0.7" right="0.7" top="0.75" bottom="0.75" header="0.3" footer="0.3"/>
  <pageSetup orientation="portrait" horizontalDpi="3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FeesCollected"/>
  <dimension ref="A1:K16"/>
  <sheetViews>
    <sheetView showRowColHeaders="0" topLeftCell="D2" workbookViewId="0">
      <selection activeCell="E8" sqref="E8"/>
    </sheetView>
  </sheetViews>
  <sheetFormatPr defaultRowHeight="15" x14ac:dyDescent="0.25"/>
  <cols>
    <col min="1" max="3" width="14.42578125" style="15" hidden="1" customWidth="1"/>
    <col min="4" max="4" width="3.7109375" style="15" customWidth="1"/>
    <col min="5" max="7" width="20.7109375" style="15" customWidth="1"/>
    <col min="8" max="16384" width="9.140625" style="15"/>
  </cols>
  <sheetData>
    <row r="1" spans="1:11" s="57" customFormat="1" ht="45" hidden="1" x14ac:dyDescent="0.25">
      <c r="A1" s="57" t="s">
        <v>19</v>
      </c>
      <c r="B1" s="61" t="s">
        <v>188</v>
      </c>
      <c r="C1" s="61" t="s">
        <v>189</v>
      </c>
    </row>
    <row r="2" spans="1:11" s="82" customFormat="1" ht="9.9499999999999993" customHeight="1" x14ac:dyDescent="0.25"/>
    <row r="3" spans="1:11" s="82" customFormat="1" ht="66.75" customHeight="1" x14ac:dyDescent="0.25">
      <c r="E3" s="145" t="s">
        <v>262</v>
      </c>
      <c r="F3" s="146"/>
      <c r="G3" s="146"/>
      <c r="H3" s="84"/>
      <c r="I3" s="84"/>
      <c r="J3" s="84"/>
      <c r="K3" s="84"/>
    </row>
    <row r="5" spans="1:11" ht="15.75" x14ac:dyDescent="0.25">
      <c r="E5" s="129" t="s">
        <v>184</v>
      </c>
      <c r="F5" s="129"/>
      <c r="G5" s="80"/>
    </row>
    <row r="7" spans="1:11" ht="24" x14ac:dyDescent="0.25">
      <c r="E7" s="100" t="s">
        <v>283</v>
      </c>
      <c r="F7" s="98" t="s">
        <v>186</v>
      </c>
      <c r="G7" s="98" t="s">
        <v>187</v>
      </c>
    </row>
    <row r="8" spans="1:11" x14ac:dyDescent="0.25">
      <c r="A8" s="15" t="b">
        <f>OR(COUNTIF($E$8:$E$10,E8)&gt;1,AND(NOT(ISBLANK(E8)),ISNA(MATCH(E8,ComponentAbbreviation,0))))</f>
        <v>0</v>
      </c>
      <c r="B8" s="15" t="b">
        <f>OR(AND(ISBLANK($E8),NOT(ISBLANK(F8))),AND(NOT(ISBLANK($E8)),NOT(IsNonNegativeDecimal(F8))))</f>
        <v>0</v>
      </c>
      <c r="C8" s="15">
        <f>INDEX(IX_Processing_Costs,MATCH(E8,IX_Components,0))</f>
        <v>8900</v>
      </c>
      <c r="E8" s="105" t="s">
        <v>295</v>
      </c>
      <c r="F8" s="59">
        <v>0</v>
      </c>
      <c r="G8" s="63">
        <f>IF(ISNA(C8),"",IF(C8=0,0,F8/C8))</f>
        <v>0</v>
      </c>
    </row>
    <row r="9" spans="1:11" x14ac:dyDescent="0.25">
      <c r="A9" s="15" t="b">
        <f>OR(COUNTIF($E$8:$E$10,E9)&gt;1,AND(NOT(ISBLANK(E9)),ISNA(MATCH(E9,ComponentAbbreviation,0))))</f>
        <v>0</v>
      </c>
      <c r="B9" s="66" t="b">
        <f>OR(AND(ISBLANK($E9),NOT(ISBLANK(F9))),AND(NOT(ISBLANK($E9)),NOT(IsNonNegativeDecimal(F9))))</f>
        <v>0</v>
      </c>
      <c r="C9" s="15" t="e">
        <f>INDEX(IX_Processing_Costs,MATCH(E9,IX_Components,0))</f>
        <v>#N/A</v>
      </c>
      <c r="E9" s="105"/>
      <c r="F9" s="59"/>
      <c r="G9" s="63" t="str">
        <f>IF(ISNA(C9),"",IF(C9=0,0,F9/C9))</f>
        <v/>
      </c>
    </row>
    <row r="10" spans="1:11" x14ac:dyDescent="0.25">
      <c r="C10" s="15">
        <f>INDEX(IX_Processing_Costs,MATCH(E10,IX_Components,0))</f>
        <v>8900</v>
      </c>
      <c r="E10" s="1" t="s">
        <v>48</v>
      </c>
      <c r="F10" s="60">
        <f>SUM(F8:ptrCellAbove)</f>
        <v>0</v>
      </c>
      <c r="G10" s="63">
        <f>IF(ISNA(C10),"",IF(C10=0,0,F10/C10))</f>
        <v>0</v>
      </c>
    </row>
    <row r="11" spans="1:11" x14ac:dyDescent="0.25">
      <c r="A11" s="15" t="b">
        <f>COUNTIF(A8:B10,TRUE)&lt;&gt;0</f>
        <v>0</v>
      </c>
    </row>
    <row r="12" spans="1:11" ht="15.75" x14ac:dyDescent="0.25">
      <c r="E12" s="55" t="s">
        <v>30</v>
      </c>
    </row>
    <row r="13" spans="1:11" x14ac:dyDescent="0.25">
      <c r="E13" s="128"/>
      <c r="F13" s="128"/>
      <c r="G13" s="128"/>
    </row>
    <row r="14" spans="1:11" ht="15" customHeight="1" x14ac:dyDescent="0.25">
      <c r="E14" s="122"/>
      <c r="F14" s="123"/>
      <c r="G14" s="124"/>
    </row>
    <row r="15" spans="1:11" ht="15" customHeight="1" x14ac:dyDescent="0.25">
      <c r="E15" s="122"/>
      <c r="F15" s="123"/>
      <c r="G15" s="124"/>
    </row>
    <row r="16" spans="1:11" x14ac:dyDescent="0.25">
      <c r="E16" s="121"/>
      <c r="F16" s="121"/>
      <c r="G16" s="121"/>
    </row>
  </sheetData>
  <sheetProtection sheet="1" objects="1" scenarios="1" selectLockedCells="1"/>
  <mergeCells count="6">
    <mergeCell ref="E3:G3"/>
    <mergeCell ref="E15:G15"/>
    <mergeCell ref="E16:G16"/>
    <mergeCell ref="E13:G13"/>
    <mergeCell ref="E14:G14"/>
    <mergeCell ref="E5:F5"/>
  </mergeCells>
  <conditionalFormatting sqref="E8:F9">
    <cfRule type="expression" dxfId="8" priority="2" stopIfTrue="1">
      <formula>A8</formula>
    </cfRule>
  </conditionalFormatting>
  <dataValidations count="2">
    <dataValidation type="list" showErrorMessage="1" error="Please choose or enter a component abbreviation set up on the Agency Information worksheet." sqref="E8:E9">
      <formula1>ComponentAbbreviation</formula1>
    </dataValidation>
    <dataValidation type="decimal" operator="greaterThanOrEqual" showInputMessage="1" showErrorMessage="1" error="Please enter a non-negative numeric value." sqref="F8:F9">
      <formula1>0</formula1>
    </dataValidation>
  </dataValidations>
  <pageMargins left="0.7" right="0.7" top="0.75" bottom="0.75" header="0.3" footer="0.3"/>
  <pageSetup orientation="portrait" horizont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Backlog"/>
  <dimension ref="A1:N16"/>
  <sheetViews>
    <sheetView showRowColHeaders="0" topLeftCell="D2" workbookViewId="0">
      <selection activeCell="E8" sqref="E8"/>
    </sheetView>
  </sheetViews>
  <sheetFormatPr defaultRowHeight="15" x14ac:dyDescent="0.25"/>
  <cols>
    <col min="1" max="1" width="14.42578125" style="15" hidden="1" customWidth="1"/>
    <col min="2" max="3" width="8.7109375" style="66" hidden="1" customWidth="1"/>
    <col min="4" max="4" width="3.7109375" style="15" customWidth="1"/>
    <col min="5" max="7" width="20.7109375" style="15" customWidth="1"/>
    <col min="8" max="16384" width="9.140625" style="15"/>
  </cols>
  <sheetData>
    <row r="1" spans="1:14" s="61" customFormat="1" hidden="1" x14ac:dyDescent="0.25">
      <c r="A1" s="61" t="s">
        <v>19</v>
      </c>
      <c r="B1" s="88"/>
      <c r="C1" s="88"/>
    </row>
    <row r="2" spans="1:14" s="82" customFormat="1" ht="9.9499999999999993" customHeight="1" x14ac:dyDescent="0.25">
      <c r="B2" s="88"/>
      <c r="C2" s="88"/>
    </row>
    <row r="3" spans="1:14" s="82" customFormat="1" ht="42.75" customHeight="1" x14ac:dyDescent="0.25">
      <c r="B3" s="88"/>
      <c r="C3" s="88"/>
      <c r="E3" s="145" t="s">
        <v>281</v>
      </c>
      <c r="F3" s="146"/>
      <c r="G3" s="146"/>
      <c r="H3" s="146"/>
      <c r="I3" s="146"/>
      <c r="J3" s="146"/>
      <c r="K3" s="84"/>
      <c r="L3" s="84"/>
      <c r="M3" s="84"/>
      <c r="N3" s="84"/>
    </row>
    <row r="5" spans="1:14" ht="15.75" x14ac:dyDescent="0.25">
      <c r="E5" s="129" t="s">
        <v>290</v>
      </c>
      <c r="F5" s="129"/>
      <c r="G5" s="129"/>
      <c r="H5" s="80"/>
    </row>
    <row r="7" spans="1:14" ht="36" x14ac:dyDescent="0.25">
      <c r="E7" s="100" t="s">
        <v>283</v>
      </c>
      <c r="F7" s="98" t="s">
        <v>191</v>
      </c>
      <c r="G7" s="98" t="s">
        <v>192</v>
      </c>
    </row>
    <row r="8" spans="1:14" x14ac:dyDescent="0.25">
      <c r="A8" s="15" t="b">
        <f>OR(COUNTIF($E$8:$E$10,E8)&gt;1,AND(NOT(ISBLANK(E8)),ISNA(MATCH(E8,ComponentAbbreviation,0))))</f>
        <v>0</v>
      </c>
      <c r="B8" s="66" t="b">
        <f>OR(AND(ISBLANK($E8),NOT(ISBLANK(F8))),AND(NOT(ISBLANK($E8)),NOT(IsNonNegativeInteger(F8))))</f>
        <v>0</v>
      </c>
      <c r="C8" s="66" t="b">
        <f>OR(AND(ISBLANK($E8),NOT(ISBLANK(G8))),AND(NOT(ISBLANK($E8)),NOT(IsNonNegativeInteger(G8,FALSE,TRUE))))</f>
        <v>0</v>
      </c>
      <c r="E8" s="105" t="s">
        <v>295</v>
      </c>
      <c r="F8" s="16">
        <v>0</v>
      </c>
      <c r="G8" s="16">
        <v>0</v>
      </c>
    </row>
    <row r="9" spans="1:14" x14ac:dyDescent="0.25">
      <c r="A9" s="15" t="b">
        <f>OR(COUNTIF($E$8:$E$10,E9)&gt;1,AND(NOT(ISBLANK(E9)),ISNA(MATCH(E9,ComponentAbbreviation,0))))</f>
        <v>0</v>
      </c>
      <c r="B9" s="66" t="b">
        <f>OR(AND(ISBLANK($E9),NOT(ISBLANK(F9))),AND(NOT(ISBLANK($E9)),NOT(IsNonNegativeInteger(F9))))</f>
        <v>0</v>
      </c>
      <c r="C9" s="66" t="b">
        <f>OR(AND(ISBLANK($E9),NOT(ISBLANK(G9))),AND(NOT(ISBLANK($E9)),NOT(IsNonNegativeInteger(G9,FALSE,TRUE))))</f>
        <v>0</v>
      </c>
      <c r="E9" s="105"/>
      <c r="F9" s="16"/>
      <c r="G9" s="16"/>
    </row>
    <row r="10" spans="1:14" x14ac:dyDescent="0.25">
      <c r="E10" s="1" t="s">
        <v>48</v>
      </c>
      <c r="F10" s="65">
        <f>SUM(F8:ptrCellAbove)</f>
        <v>0</v>
      </c>
      <c r="G10" s="65">
        <f>SUM(G8:ptrCellAbove)</f>
        <v>0</v>
      </c>
    </row>
    <row r="11" spans="1:14" x14ac:dyDescent="0.25">
      <c r="A11" s="15" t="b">
        <f>COUNTIF(A8:C10,TRUE)&lt;&gt;0</f>
        <v>0</v>
      </c>
    </row>
    <row r="12" spans="1:14" ht="15.75" x14ac:dyDescent="0.25">
      <c r="E12" s="58" t="s">
        <v>30</v>
      </c>
    </row>
    <row r="13" spans="1:14" x14ac:dyDescent="0.25">
      <c r="E13" s="144"/>
      <c r="F13" s="144"/>
      <c r="G13" s="144"/>
      <c r="H13" s="144"/>
      <c r="I13" s="144"/>
      <c r="J13" s="144"/>
    </row>
    <row r="14" spans="1:14" ht="15" customHeight="1" x14ac:dyDescent="0.25">
      <c r="E14" s="122"/>
      <c r="F14" s="123"/>
      <c r="G14" s="123"/>
      <c r="H14" s="123"/>
      <c r="I14" s="123"/>
      <c r="J14" s="124"/>
    </row>
    <row r="15" spans="1:14" ht="15" customHeight="1" x14ac:dyDescent="0.25">
      <c r="E15" s="122"/>
      <c r="F15" s="123"/>
      <c r="G15" s="123"/>
      <c r="H15" s="123"/>
      <c r="I15" s="123"/>
      <c r="J15" s="124"/>
    </row>
    <row r="16" spans="1:14" x14ac:dyDescent="0.25">
      <c r="E16" s="144"/>
      <c r="F16" s="144"/>
      <c r="G16" s="144"/>
      <c r="H16" s="144"/>
      <c r="I16" s="144"/>
      <c r="J16" s="144"/>
    </row>
  </sheetData>
  <sheetProtection sheet="1" objects="1" scenarios="1" selectLockedCells="1"/>
  <mergeCells count="6">
    <mergeCell ref="E3:J3"/>
    <mergeCell ref="E14:J14"/>
    <mergeCell ref="E15:J15"/>
    <mergeCell ref="E13:J13"/>
    <mergeCell ref="E16:J16"/>
    <mergeCell ref="E5:G5"/>
  </mergeCells>
  <conditionalFormatting sqref="E8:G9">
    <cfRule type="expression" dxfId="7" priority="1" stopIfTrue="1">
      <formula>A8</formula>
    </cfRule>
  </conditionalFormatting>
  <dataValidations count="1">
    <dataValidation type="list" showErrorMessage="1" error="Please choose or enter a component abbreviation set up on the Agency Information worksheet." sqref="E8:E9">
      <formula1>ComponentAbbreviation</formula1>
    </dataValidation>
  </dataValidations>
  <pageMargins left="0.7" right="0.7" top="0.75" bottom="0.75" header="0.3" footer="0.3"/>
  <pageSetup orientation="portrait" horizont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ProcessedConsultation"/>
  <dimension ref="A1:P17"/>
  <sheetViews>
    <sheetView showRowColHeaders="0" topLeftCell="E2" workbookViewId="0">
      <selection activeCell="F8" sqref="F8"/>
    </sheetView>
  </sheetViews>
  <sheetFormatPr defaultRowHeight="15" x14ac:dyDescent="0.25"/>
  <cols>
    <col min="1" max="1" width="11.5703125" style="66" hidden="1" customWidth="1"/>
    <col min="2" max="4" width="9.140625" style="66" hidden="1" customWidth="1"/>
    <col min="5" max="5" width="9.140625" style="66"/>
    <col min="6" max="10" width="20.7109375" style="66" customWidth="1"/>
    <col min="11" max="16384" width="9.140625" style="66"/>
  </cols>
  <sheetData>
    <row r="1" spans="1:16" s="61" customFormat="1" ht="30" hidden="1" x14ac:dyDescent="0.25">
      <c r="A1" s="61" t="s">
        <v>69</v>
      </c>
      <c r="B1" s="78" t="s">
        <v>228</v>
      </c>
      <c r="C1" s="78" t="s">
        <v>229</v>
      </c>
      <c r="D1" s="78" t="s">
        <v>230</v>
      </c>
    </row>
    <row r="2" spans="1:16" s="77" customFormat="1" x14ac:dyDescent="0.25"/>
    <row r="3" spans="1:16" s="77" customFormat="1" ht="92.25" customHeight="1" x14ac:dyDescent="0.25">
      <c r="F3" s="116" t="s">
        <v>231</v>
      </c>
      <c r="G3" s="111"/>
      <c r="H3" s="111"/>
      <c r="I3" s="111"/>
      <c r="J3" s="111"/>
    </row>
    <row r="5" spans="1:16" ht="18.75" x14ac:dyDescent="0.3">
      <c r="F5" s="129" t="s">
        <v>197</v>
      </c>
      <c r="G5" s="129"/>
      <c r="H5" s="129"/>
      <c r="I5" s="129"/>
      <c r="J5" s="129"/>
      <c r="K5" s="10"/>
      <c r="L5" s="10"/>
      <c r="M5" s="10"/>
      <c r="N5" s="10"/>
      <c r="O5" s="10"/>
      <c r="P5" s="10"/>
    </row>
    <row r="7" spans="1:16" ht="72" x14ac:dyDescent="0.25">
      <c r="F7" s="102" t="s">
        <v>283</v>
      </c>
      <c r="G7" s="104" t="s">
        <v>291</v>
      </c>
      <c r="H7" s="103" t="s">
        <v>242</v>
      </c>
      <c r="I7" s="104" t="s">
        <v>292</v>
      </c>
      <c r="J7" s="104" t="s">
        <v>293</v>
      </c>
    </row>
    <row r="8" spans="1:16" x14ac:dyDescent="0.25">
      <c r="A8" s="66" t="b">
        <f>OR(COUNTIF(V_A_Components,$F8)&gt;1,AND(NOT(ISBLANK(F8)),ISNA(MATCH(F8,ComponentAbbreviation,0))))</f>
        <v>0</v>
      </c>
      <c r="B8" s="66" t="b">
        <f t="shared" ref="B8:D9" si="0">OR(AND(ISBLANK($F8),NOT(ISBLANK(G8))),AND(NOT(ISBLANK($F8)),NOT(IsNonNegativeInteger(G8))))</f>
        <v>0</v>
      </c>
      <c r="C8" s="66" t="b">
        <f t="shared" si="0"/>
        <v>0</v>
      </c>
      <c r="D8" s="66" t="b">
        <f t="shared" si="0"/>
        <v>0</v>
      </c>
      <c r="F8" s="105" t="s">
        <v>295</v>
      </c>
      <c r="G8" s="16">
        <v>0</v>
      </c>
      <c r="H8" s="16">
        <v>0</v>
      </c>
      <c r="I8" s="16">
        <v>0</v>
      </c>
      <c r="J8" s="17">
        <f>G8+H8-I8</f>
        <v>0</v>
      </c>
    </row>
    <row r="9" spans="1:16" x14ac:dyDescent="0.25">
      <c r="A9" s="66" t="b">
        <f>OR(COUNTIF(V_A_Components,$F9)&gt;1,AND(NOT(ISBLANK(F9)),ISNA(MATCH(F9,ComponentAbbreviation,0))))</f>
        <v>0</v>
      </c>
      <c r="B9" s="66" t="b">
        <f t="shared" si="0"/>
        <v>0</v>
      </c>
      <c r="C9" s="66" t="b">
        <f t="shared" si="0"/>
        <v>0</v>
      </c>
      <c r="D9" s="66" t="b">
        <f t="shared" si="0"/>
        <v>0</v>
      </c>
      <c r="F9" s="105"/>
      <c r="G9" s="16"/>
      <c r="H9" s="16"/>
      <c r="I9" s="16"/>
      <c r="J9" s="17">
        <f>G9+H9-I9</f>
        <v>0</v>
      </c>
    </row>
    <row r="10" spans="1:16" x14ac:dyDescent="0.25">
      <c r="F10" s="1" t="s">
        <v>48</v>
      </c>
      <c r="G10" s="17">
        <f>SUM(G8:ptrCellAbove)</f>
        <v>0</v>
      </c>
      <c r="H10" s="17">
        <f>SUM(H8:ptrCellAbove)</f>
        <v>0</v>
      </c>
      <c r="I10" s="17">
        <f>SUM(I8:ptrCellAbove)</f>
        <v>0</v>
      </c>
      <c r="J10" s="17">
        <f>SUM(J8:ptrCellAbove)</f>
        <v>0</v>
      </c>
    </row>
    <row r="11" spans="1:16" x14ac:dyDescent="0.25">
      <c r="A11" s="66" t="b">
        <f>OR(A8:D10)</f>
        <v>0</v>
      </c>
    </row>
    <row r="13" spans="1:16" ht="15.75" x14ac:dyDescent="0.25">
      <c r="F13" s="67" t="s">
        <v>30</v>
      </c>
    </row>
    <row r="14" spans="1:16" x14ac:dyDescent="0.25">
      <c r="F14" s="131"/>
      <c r="G14" s="131"/>
      <c r="H14" s="131"/>
      <c r="I14" s="131"/>
      <c r="J14" s="131"/>
    </row>
    <row r="15" spans="1:16" ht="15" customHeight="1" x14ac:dyDescent="0.25">
      <c r="F15" s="122"/>
      <c r="G15" s="123"/>
      <c r="H15" s="123"/>
      <c r="I15" s="123"/>
      <c r="J15" s="124"/>
    </row>
    <row r="16" spans="1:16" ht="15" customHeight="1" x14ac:dyDescent="0.25">
      <c r="F16" s="122"/>
      <c r="G16" s="123"/>
      <c r="H16" s="123"/>
      <c r="I16" s="123"/>
      <c r="J16" s="124"/>
    </row>
    <row r="17" spans="6:10" x14ac:dyDescent="0.25">
      <c r="F17" s="130"/>
      <c r="G17" s="130"/>
      <c r="H17" s="130"/>
      <c r="I17" s="130"/>
      <c r="J17" s="130"/>
    </row>
  </sheetData>
  <sheetProtection sheet="1" objects="1" scenarios="1" selectLockedCells="1"/>
  <dataConsolidate link="1"/>
  <mergeCells count="6">
    <mergeCell ref="F17:J17"/>
    <mergeCell ref="F5:J5"/>
    <mergeCell ref="F3:J3"/>
    <mergeCell ref="F14:J14"/>
    <mergeCell ref="F15:J15"/>
    <mergeCell ref="F16:J16"/>
  </mergeCells>
  <conditionalFormatting sqref="F8:I9">
    <cfRule type="expression" dxfId="6" priority="2" stopIfTrue="1">
      <formula>A8</formula>
    </cfRule>
  </conditionalFormatting>
  <dataValidations count="1">
    <dataValidation type="list" showErrorMessage="1" error="Please choose or enter a component abbreviation set up on the Agency Information worksheet." sqref="F8:F9">
      <formula1>ComponentAbbreviation</formula1>
    </dataValidation>
  </dataValidations>
  <pageMargins left="0.7" right="0.7" top="0.75" bottom="0.75" header="0.3" footer="0.3"/>
  <pageSetup orientation="portrait" horizont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ldestPendingConsultation"/>
  <dimension ref="A1:X18"/>
  <sheetViews>
    <sheetView showRowColHeaders="0" topLeftCell="L2" workbookViewId="0">
      <selection activeCell="M8" sqref="M8:M9"/>
    </sheetView>
  </sheetViews>
  <sheetFormatPr defaultRowHeight="15" x14ac:dyDescent="0.25"/>
  <cols>
    <col min="1" max="11" width="8.7109375" style="66" hidden="1" customWidth="1"/>
    <col min="12" max="12" width="3.7109375" style="66" customWidth="1"/>
    <col min="13" max="13" width="15.7109375" style="66" customWidth="1"/>
    <col min="14" max="14" width="18.7109375" style="66" customWidth="1"/>
    <col min="15" max="24" width="9.7109375" style="66" customWidth="1"/>
    <col min="25" max="16384" width="9.140625" style="66"/>
  </cols>
  <sheetData>
    <row r="1" spans="1:24" s="61" customFormat="1" ht="45" hidden="1" x14ac:dyDescent="0.25">
      <c r="A1" s="61" t="s">
        <v>69</v>
      </c>
      <c r="B1" s="61" t="s">
        <v>114</v>
      </c>
      <c r="C1" s="61" t="s">
        <v>115</v>
      </c>
      <c r="D1" s="61" t="s">
        <v>116</v>
      </c>
      <c r="E1" s="61" t="s">
        <v>117</v>
      </c>
      <c r="F1" s="61" t="s">
        <v>118</v>
      </c>
      <c r="G1" s="61" t="s">
        <v>119</v>
      </c>
      <c r="H1" s="61" t="s">
        <v>120</v>
      </c>
      <c r="I1" s="61" t="s">
        <v>121</v>
      </c>
      <c r="J1" s="61" t="s">
        <v>122</v>
      </c>
      <c r="K1" s="61" t="s">
        <v>123</v>
      </c>
    </row>
    <row r="2" spans="1:24" s="82" customFormat="1" ht="9.9499999999999993" customHeight="1" x14ac:dyDescent="0.25"/>
    <row r="3" spans="1:24" s="82" customFormat="1" ht="70.5" customHeight="1" x14ac:dyDescent="0.25">
      <c r="M3" s="115" t="s">
        <v>257</v>
      </c>
      <c r="N3" s="115"/>
      <c r="O3" s="115"/>
      <c r="P3" s="115"/>
      <c r="Q3" s="115"/>
      <c r="R3" s="115"/>
      <c r="S3" s="115"/>
      <c r="T3" s="115"/>
      <c r="U3" s="115"/>
      <c r="V3" s="115"/>
      <c r="W3" s="115"/>
      <c r="X3" s="115"/>
    </row>
    <row r="5" spans="1:24" ht="18.75" x14ac:dyDescent="0.3">
      <c r="M5" s="129" t="s">
        <v>199</v>
      </c>
      <c r="N5" s="129"/>
      <c r="O5" s="129"/>
      <c r="P5" s="129"/>
      <c r="Q5" s="129"/>
      <c r="R5" s="129"/>
      <c r="S5" s="129"/>
      <c r="T5" s="129"/>
      <c r="U5" s="129"/>
      <c r="V5" s="129"/>
      <c r="W5" s="129"/>
      <c r="X5" s="10"/>
    </row>
    <row r="7" spans="1:24" s="61" customFormat="1" ht="24" x14ac:dyDescent="0.25">
      <c r="M7" s="43" t="s">
        <v>283</v>
      </c>
      <c r="N7" s="43"/>
      <c r="O7" s="43" t="s">
        <v>202</v>
      </c>
      <c r="P7" s="43" t="s">
        <v>103</v>
      </c>
      <c r="Q7" s="43" t="s">
        <v>104</v>
      </c>
      <c r="R7" s="43" t="s">
        <v>105</v>
      </c>
      <c r="S7" s="43" t="s">
        <v>106</v>
      </c>
      <c r="T7" s="43" t="s">
        <v>107</v>
      </c>
      <c r="U7" s="43" t="s">
        <v>108</v>
      </c>
      <c r="V7" s="43" t="s">
        <v>109</v>
      </c>
      <c r="W7" s="43" t="s">
        <v>110</v>
      </c>
      <c r="X7" s="43" t="s">
        <v>203</v>
      </c>
    </row>
    <row r="8" spans="1:24" x14ac:dyDescent="0.25">
      <c r="A8" s="143" t="b">
        <f>OR(COUNTIF($M$8:$M$10,M8)&gt;1,AND(NOT(ISBLANK(M8)),ISNA(MATCH(M8,ComponentAbbrevNoAgency,0))))</f>
        <v>0</v>
      </c>
      <c r="B8" s="69" t="b">
        <f t="shared" ref="B8:K8" si="0">NOT(AND(BothOrNeither($M8,O8),IsValidOldestDate(O8,N8)))</f>
        <v>0</v>
      </c>
      <c r="C8" s="90" t="b">
        <f t="shared" si="0"/>
        <v>0</v>
      </c>
      <c r="D8" s="90" t="b">
        <f t="shared" si="0"/>
        <v>0</v>
      </c>
      <c r="E8" s="90" t="b">
        <f t="shared" si="0"/>
        <v>0</v>
      </c>
      <c r="F8" s="90" t="b">
        <f t="shared" si="0"/>
        <v>0</v>
      </c>
      <c r="G8" s="90" t="b">
        <f t="shared" si="0"/>
        <v>0</v>
      </c>
      <c r="H8" s="90" t="b">
        <f t="shared" si="0"/>
        <v>0</v>
      </c>
      <c r="I8" s="90" t="b">
        <f t="shared" si="0"/>
        <v>0</v>
      </c>
      <c r="J8" s="90" t="b">
        <f t="shared" si="0"/>
        <v>0</v>
      </c>
      <c r="K8" s="90" t="b">
        <f t="shared" si="0"/>
        <v>0</v>
      </c>
      <c r="M8" s="149"/>
      <c r="N8" s="106" t="s">
        <v>200</v>
      </c>
      <c r="O8" s="85"/>
      <c r="P8" s="85"/>
      <c r="Q8" s="85"/>
      <c r="R8" s="85"/>
      <c r="S8" s="85"/>
      <c r="T8" s="85"/>
      <c r="U8" s="85"/>
      <c r="V8" s="85"/>
      <c r="W8" s="85"/>
      <c r="X8" s="85"/>
    </row>
    <row r="9" spans="1:24" x14ac:dyDescent="0.25">
      <c r="A9" s="143"/>
      <c r="B9" s="69" t="b">
        <f t="shared" ref="B9:K9" si="1">NOT(AND(BothOrNeither($M8,O9),IsValidOldestPendingDays(O9,N9,O8)))</f>
        <v>0</v>
      </c>
      <c r="C9" s="90" t="b">
        <f t="shared" si="1"/>
        <v>0</v>
      </c>
      <c r="D9" s="90" t="b">
        <f t="shared" si="1"/>
        <v>0</v>
      </c>
      <c r="E9" s="90" t="b">
        <f t="shared" si="1"/>
        <v>0</v>
      </c>
      <c r="F9" s="90" t="b">
        <f t="shared" si="1"/>
        <v>0</v>
      </c>
      <c r="G9" s="90" t="b">
        <f t="shared" si="1"/>
        <v>0</v>
      </c>
      <c r="H9" s="90" t="b">
        <f t="shared" si="1"/>
        <v>0</v>
      </c>
      <c r="I9" s="90" t="b">
        <f t="shared" si="1"/>
        <v>0</v>
      </c>
      <c r="J9" s="90" t="b">
        <f t="shared" si="1"/>
        <v>0</v>
      </c>
      <c r="K9" s="90" t="b">
        <f t="shared" si="1"/>
        <v>0</v>
      </c>
      <c r="M9" s="150"/>
      <c r="N9" s="106" t="s">
        <v>201</v>
      </c>
      <c r="O9" s="86"/>
      <c r="P9" s="86"/>
      <c r="Q9" s="86"/>
      <c r="R9" s="86"/>
      <c r="S9" s="86"/>
      <c r="T9" s="86"/>
      <c r="U9" s="86"/>
      <c r="V9" s="86"/>
      <c r="W9" s="86"/>
      <c r="X9" s="86"/>
    </row>
    <row r="10" spans="1:24" x14ac:dyDescent="0.25">
      <c r="A10" s="143" t="b">
        <f>FALSE</f>
        <v>0</v>
      </c>
      <c r="B10" s="69" t="b">
        <f>NOT(IsValidOldestDate(O10,N10))</f>
        <v>0</v>
      </c>
      <c r="C10" s="90" t="b">
        <f t="shared" ref="C10:K10" si="2">NOT(IsValidOldestDate(P10,O10))</f>
        <v>0</v>
      </c>
      <c r="D10" s="90" t="b">
        <f t="shared" si="2"/>
        <v>0</v>
      </c>
      <c r="E10" s="90" t="b">
        <f t="shared" si="2"/>
        <v>0</v>
      </c>
      <c r="F10" s="90" t="b">
        <f t="shared" si="2"/>
        <v>0</v>
      </c>
      <c r="G10" s="90" t="b">
        <f t="shared" si="2"/>
        <v>0</v>
      </c>
      <c r="H10" s="90" t="b">
        <f t="shared" si="2"/>
        <v>0</v>
      </c>
      <c r="I10" s="90" t="b">
        <f t="shared" si="2"/>
        <v>0</v>
      </c>
      <c r="J10" s="90" t="b">
        <f t="shared" si="2"/>
        <v>0</v>
      </c>
      <c r="K10" s="90" t="b">
        <f t="shared" si="2"/>
        <v>0</v>
      </c>
      <c r="M10" s="138" t="s">
        <v>48</v>
      </c>
      <c r="N10" s="1" t="s">
        <v>200</v>
      </c>
      <c r="O10" s="85"/>
      <c r="P10" s="85"/>
      <c r="Q10" s="85"/>
      <c r="R10" s="85"/>
      <c r="S10" s="85"/>
      <c r="T10" s="85"/>
      <c r="U10" s="85"/>
      <c r="V10" s="85"/>
      <c r="W10" s="85"/>
      <c r="X10" s="85"/>
    </row>
    <row r="11" spans="1:24" x14ac:dyDescent="0.25">
      <c r="A11" s="143"/>
      <c r="B11" s="69" t="b">
        <f>NOT(IsValidOldestPendingDays(O11,N11,O10))</f>
        <v>0</v>
      </c>
      <c r="C11" s="90" t="b">
        <f t="shared" ref="C11:K11" si="3">NOT(IsValidOldestPendingDays(P11,O11,P10))</f>
        <v>0</v>
      </c>
      <c r="D11" s="90" t="b">
        <f t="shared" si="3"/>
        <v>0</v>
      </c>
      <c r="E11" s="90" t="b">
        <f t="shared" si="3"/>
        <v>0</v>
      </c>
      <c r="F11" s="90" t="b">
        <f t="shared" si="3"/>
        <v>0</v>
      </c>
      <c r="G11" s="90" t="b">
        <f t="shared" si="3"/>
        <v>0</v>
      </c>
      <c r="H11" s="90" t="b">
        <f t="shared" si="3"/>
        <v>0</v>
      </c>
      <c r="I11" s="90" t="b">
        <f t="shared" si="3"/>
        <v>0</v>
      </c>
      <c r="J11" s="90" t="b">
        <f t="shared" si="3"/>
        <v>0</v>
      </c>
      <c r="K11" s="90" t="b">
        <f t="shared" si="3"/>
        <v>0</v>
      </c>
      <c r="M11" s="139"/>
      <c r="N11" s="1" t="s">
        <v>201</v>
      </c>
      <c r="O11" s="86"/>
      <c r="P11" s="86"/>
      <c r="Q11" s="86"/>
      <c r="R11" s="86"/>
      <c r="S11" s="86"/>
      <c r="T11" s="86"/>
      <c r="U11" s="86"/>
      <c r="V11" s="86"/>
      <c r="W11" s="86"/>
      <c r="X11" s="86"/>
    </row>
    <row r="12" spans="1:24" x14ac:dyDescent="0.25">
      <c r="A12" s="66" t="b">
        <f>OR(A8:K11)</f>
        <v>0</v>
      </c>
    </row>
    <row r="14" spans="1:24" ht="18.75" x14ac:dyDescent="0.3">
      <c r="M14" s="67" t="s">
        <v>30</v>
      </c>
      <c r="N14" s="10"/>
    </row>
    <row r="15" spans="1:24" x14ac:dyDescent="0.25">
      <c r="M15" s="148"/>
      <c r="N15" s="148"/>
      <c r="O15" s="148"/>
      <c r="P15" s="148"/>
      <c r="Q15" s="148"/>
      <c r="R15" s="148"/>
      <c r="S15" s="148"/>
      <c r="T15" s="148"/>
      <c r="U15" s="148"/>
      <c r="V15" s="148"/>
      <c r="W15" s="148"/>
      <c r="X15" s="148"/>
    </row>
    <row r="16" spans="1:24" ht="15" customHeight="1" x14ac:dyDescent="0.25">
      <c r="M16" s="122"/>
      <c r="N16" s="123"/>
      <c r="O16" s="123"/>
      <c r="P16" s="123"/>
      <c r="Q16" s="123"/>
      <c r="R16" s="123"/>
      <c r="S16" s="123"/>
      <c r="T16" s="123"/>
      <c r="U16" s="123"/>
      <c r="V16" s="123"/>
      <c r="W16" s="123"/>
      <c r="X16" s="124"/>
    </row>
    <row r="17" spans="13:24" ht="15" customHeight="1" x14ac:dyDescent="0.25">
      <c r="M17" s="122"/>
      <c r="N17" s="123"/>
      <c r="O17" s="123"/>
      <c r="P17" s="123"/>
      <c r="Q17" s="123"/>
      <c r="R17" s="123"/>
      <c r="S17" s="123"/>
      <c r="T17" s="123"/>
      <c r="U17" s="123"/>
      <c r="V17" s="123"/>
      <c r="W17" s="123"/>
      <c r="X17" s="124"/>
    </row>
    <row r="18" spans="13:24" x14ac:dyDescent="0.25">
      <c r="M18" s="148"/>
      <c r="N18" s="148"/>
      <c r="O18" s="148"/>
      <c r="P18" s="148"/>
      <c r="Q18" s="148"/>
      <c r="R18" s="148"/>
      <c r="S18" s="148"/>
      <c r="T18" s="148"/>
      <c r="U18" s="148"/>
      <c r="V18" s="148"/>
      <c r="W18" s="148"/>
      <c r="X18" s="148"/>
    </row>
  </sheetData>
  <sheetProtection sheet="1" objects="1" scenarios="1" selectLockedCells="1"/>
  <mergeCells count="10">
    <mergeCell ref="M5:W5"/>
    <mergeCell ref="M3:X3"/>
    <mergeCell ref="M15:X15"/>
    <mergeCell ref="M16:X16"/>
    <mergeCell ref="M17:X17"/>
    <mergeCell ref="A8:A9"/>
    <mergeCell ref="M8:M9"/>
    <mergeCell ref="A10:A11"/>
    <mergeCell ref="M10:M11"/>
    <mergeCell ref="M18:X18"/>
  </mergeCells>
  <conditionalFormatting sqref="O8:X11">
    <cfRule type="expression" dxfId="5" priority="2" stopIfTrue="1">
      <formula>B8</formula>
    </cfRule>
  </conditionalFormatting>
  <conditionalFormatting sqref="M8:M9">
    <cfRule type="expression" dxfId="4" priority="1" stopIfTrue="1">
      <formula>A8</formula>
    </cfRule>
  </conditionalFormatting>
  <dataValidations count="1">
    <dataValidation type="list" showErrorMessage="1" error="Please choose or enter a component abbreviation set up on the Agency Information worksheet." sqref="M8:M9">
      <formula1>ComponentAbbrevNoAgency</formula1>
    </dataValidation>
  </dataValidations>
  <pageMargins left="0.7" right="0.7" top="0.75" bottom="0.75" header="0.3" footer="0.3"/>
  <pageSetup orientation="portrait" horizont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RequestComparison"/>
  <dimension ref="A1:O17"/>
  <sheetViews>
    <sheetView showRowColHeaders="0" topLeftCell="H2" workbookViewId="0">
      <selection activeCell="I9" sqref="I9"/>
    </sheetView>
  </sheetViews>
  <sheetFormatPr defaultRowHeight="15" x14ac:dyDescent="0.25"/>
  <cols>
    <col min="1" max="7" width="14.42578125" style="66" hidden="1" customWidth="1"/>
    <col min="8" max="8" width="3.7109375" style="66" customWidth="1"/>
    <col min="9" max="13" width="20.7109375" style="66" customWidth="1"/>
    <col min="14" max="16384" width="9.140625" style="66"/>
  </cols>
  <sheetData>
    <row r="1" spans="1:15" s="61" customFormat="1" ht="30" hidden="1" x14ac:dyDescent="0.25">
      <c r="A1" s="61" t="s">
        <v>19</v>
      </c>
      <c r="B1" s="70" t="s">
        <v>209</v>
      </c>
      <c r="C1" s="70" t="s">
        <v>210</v>
      </c>
      <c r="D1" s="70" t="s">
        <v>211</v>
      </c>
      <c r="E1" s="70" t="s">
        <v>212</v>
      </c>
      <c r="F1" s="70" t="s">
        <v>213</v>
      </c>
      <c r="G1" s="70" t="s">
        <v>77</v>
      </c>
    </row>
    <row r="2" spans="1:15" s="82" customFormat="1" ht="9.9499999999999993" customHeight="1" x14ac:dyDescent="0.25"/>
    <row r="3" spans="1:15" s="82" customFormat="1" ht="42" customHeight="1" x14ac:dyDescent="0.25">
      <c r="I3" s="145" t="s">
        <v>247</v>
      </c>
      <c r="J3" s="146"/>
      <c r="K3" s="146"/>
      <c r="L3" s="146"/>
      <c r="M3" s="146"/>
      <c r="N3" s="84"/>
      <c r="O3" s="84"/>
    </row>
    <row r="5" spans="1:15" ht="15.75" x14ac:dyDescent="0.25">
      <c r="I5" s="129" t="s">
        <v>214</v>
      </c>
      <c r="J5" s="129"/>
      <c r="K5" s="129"/>
      <c r="L5" s="129"/>
      <c r="M5" s="129"/>
    </row>
    <row r="7" spans="1:15" ht="30" customHeight="1" x14ac:dyDescent="0.25">
      <c r="I7" s="140" t="s">
        <v>283</v>
      </c>
      <c r="J7" s="152" t="s">
        <v>243</v>
      </c>
      <c r="K7" s="152"/>
      <c r="L7" s="152" t="s">
        <v>244</v>
      </c>
      <c r="M7" s="152"/>
    </row>
    <row r="8" spans="1:15" ht="36" x14ac:dyDescent="0.25">
      <c r="I8" s="141"/>
      <c r="J8" s="68" t="s">
        <v>205</v>
      </c>
      <c r="K8" s="68" t="s">
        <v>206</v>
      </c>
      <c r="L8" s="68" t="s">
        <v>207</v>
      </c>
      <c r="M8" s="68" t="s">
        <v>208</v>
      </c>
    </row>
    <row r="9" spans="1:15" x14ac:dyDescent="0.25">
      <c r="A9" s="66" t="b">
        <f>OR(COUNTIF($I$9:$I$11,I9)&gt;1,AND(NOT(ISBLANK(I9)),ISNA(MATCH(I9,ComponentAbbreviation,0))))</f>
        <v>0</v>
      </c>
      <c r="B9" s="66" t="b">
        <f>OR(AND(ISBLANK($I9),NOT(ISBLANK(J9))),AND(NOT(ISBLANK($I9)),NOT(IsNonNegativeInteger(J9))))</f>
        <v>0</v>
      </c>
      <c r="C9" s="66" t="b">
        <f>OR(AND(ISBLANK($I9),NOT(ISBLANK(K9))),AND(NOT(ISBLANK($I9)),IF(ISNA(F9),TRUE,K9&lt;&gt;F9)))</f>
        <v>0</v>
      </c>
      <c r="D9" s="66" t="b">
        <f>OR(AND(ISBLANK($I9),NOT(ISBLANK(L9))),AND(NOT(ISBLANK($I9)),NOT(IsNonNegativeInteger(L9))))</f>
        <v>0</v>
      </c>
      <c r="E9" s="66" t="b">
        <f>OR(AND(ISBLANK($I9),NOT(ISBLANK(M9))),AND(NOT(ISBLANK($I9)),IF(ISNA(G9),TRUE,M9&lt;&gt;G9)))</f>
        <v>0</v>
      </c>
      <c r="F9" s="66">
        <f>INDEX(V_A_Received,MATCH(I9,V_A_Components,0))</f>
        <v>0</v>
      </c>
      <c r="G9" s="66">
        <f>INDEX(V_A_Processed,MATCH(I9,V_A_Components,0))</f>
        <v>0</v>
      </c>
      <c r="I9" s="105" t="s">
        <v>295</v>
      </c>
      <c r="J9" s="16">
        <v>0</v>
      </c>
      <c r="K9" s="16"/>
      <c r="L9" s="16">
        <v>0</v>
      </c>
      <c r="M9" s="16"/>
    </row>
    <row r="10" spans="1:15" x14ac:dyDescent="0.25">
      <c r="A10" s="66" t="b">
        <f>OR(COUNTIF($I$9:$I$11,I10)&gt;1,AND(NOT(ISBLANK(I10)),ISNA(MATCH(I10,ComponentAbbreviation,0))))</f>
        <v>0</v>
      </c>
      <c r="B10" s="66" t="b">
        <f>OR(AND(ISBLANK($I10),NOT(ISBLANK(J10))),AND(NOT(ISBLANK($I10)),NOT(IsNonNegativeInteger(J10))))</f>
        <v>0</v>
      </c>
      <c r="C10" s="66" t="b">
        <f>OR(AND(ISBLANK($I10),NOT(ISBLANK(K10))),AND(NOT(ISBLANK($I10)),IF(ISNA(F10),TRUE,K10&lt;&gt;F10)))</f>
        <v>0</v>
      </c>
      <c r="D10" s="66" t="b">
        <f>OR(AND(ISBLANK($I10),NOT(ISBLANK(L10))),AND(NOT(ISBLANK($I10)),NOT(IsNonNegativeInteger(L10))))</f>
        <v>0</v>
      </c>
      <c r="E10" s="66" t="b">
        <f>OR(AND(ISBLANK($I10),NOT(ISBLANK(M10))),AND(NOT(ISBLANK($I10)),IF(ISNA(G10),TRUE,M10&lt;&gt;G10)))</f>
        <v>0</v>
      </c>
      <c r="F10" s="66" t="e">
        <f>INDEX(V_A_Received,MATCH(I10,V_A_Components,0))</f>
        <v>#N/A</v>
      </c>
      <c r="G10" s="66" t="e">
        <f>INDEX(V_A_Processed,MATCH(I10,V_A_Components,0))</f>
        <v>#N/A</v>
      </c>
      <c r="I10" s="105"/>
      <c r="J10" s="16"/>
      <c r="K10" s="16"/>
      <c r="L10" s="16"/>
      <c r="M10" s="16"/>
    </row>
    <row r="11" spans="1:15" x14ac:dyDescent="0.25">
      <c r="C11" s="66" t="b">
        <f>OR(AND(ISBLANK($I11),NOT(ISBLANK(K11))),AND(NOT(ISBLANK($I11)),IF(ISNA(F11),TRUE,K11&lt;&gt;F11)))</f>
        <v>0</v>
      </c>
      <c r="E11" s="66" t="b">
        <f>OR(AND(ISBLANK($I11),NOT(ISBLANK(M11))),AND(NOT(ISBLANK($I11)),IF(ISNA(G11),TRUE,M11&lt;&gt;G11)))</f>
        <v>0</v>
      </c>
      <c r="F11" s="66">
        <f>INDEX(V_A_Received,MATCH(I11,V_A_Components,0))</f>
        <v>0</v>
      </c>
      <c r="G11" s="66">
        <f>INDEX(V_A_Processed,MATCH(I11,V_A_Components,0))</f>
        <v>0</v>
      </c>
      <c r="I11" s="1" t="s">
        <v>48</v>
      </c>
      <c r="J11" s="65">
        <f>SUM(J9:ptrCellAbove)</f>
        <v>0</v>
      </c>
      <c r="K11" s="65">
        <f>SUM(K9:ptrCellAbove)</f>
        <v>0</v>
      </c>
      <c r="L11" s="65">
        <f>SUM(L9:ptrCellAbove)</f>
        <v>0</v>
      </c>
      <c r="M11" s="65">
        <f>SUM(M9:ptrCellAbove)</f>
        <v>0</v>
      </c>
    </row>
    <row r="12" spans="1:15" x14ac:dyDescent="0.25">
      <c r="A12" s="66" t="b">
        <f>COUNTIF(A9:E11,TRUE)&lt;&gt;0</f>
        <v>0</v>
      </c>
    </row>
    <row r="13" spans="1:15" ht="15.75" x14ac:dyDescent="0.25">
      <c r="I13" s="67" t="s">
        <v>30</v>
      </c>
    </row>
    <row r="14" spans="1:15" x14ac:dyDescent="0.25">
      <c r="I14" s="128"/>
      <c r="J14" s="128"/>
      <c r="K14" s="128"/>
      <c r="L14" s="128"/>
      <c r="M14" s="128"/>
    </row>
    <row r="15" spans="1:15" ht="15" customHeight="1" x14ac:dyDescent="0.25">
      <c r="I15" s="122"/>
      <c r="J15" s="123"/>
      <c r="K15" s="123"/>
      <c r="L15" s="123"/>
      <c r="M15" s="124"/>
    </row>
    <row r="16" spans="1:15" ht="15" customHeight="1" x14ac:dyDescent="0.25">
      <c r="I16" s="122"/>
      <c r="J16" s="123"/>
      <c r="K16" s="123"/>
      <c r="L16" s="123"/>
      <c r="M16" s="124"/>
    </row>
    <row r="17" spans="9:13" x14ac:dyDescent="0.25">
      <c r="I17" s="121"/>
      <c r="J17" s="121"/>
      <c r="K17" s="121"/>
      <c r="L17" s="121"/>
      <c r="M17" s="121"/>
    </row>
  </sheetData>
  <sheetProtection sheet="1" objects="1" scenarios="1" selectLockedCells="1"/>
  <mergeCells count="9">
    <mergeCell ref="I3:M3"/>
    <mergeCell ref="I16:M16"/>
    <mergeCell ref="I17:M17"/>
    <mergeCell ref="I5:M5"/>
    <mergeCell ref="I7:I8"/>
    <mergeCell ref="J7:K7"/>
    <mergeCell ref="L7:M7"/>
    <mergeCell ref="I14:M14"/>
    <mergeCell ref="I15:M15"/>
  </mergeCells>
  <conditionalFormatting sqref="J11:M11 I9:M10">
    <cfRule type="expression" dxfId="3" priority="2" stopIfTrue="1">
      <formula>A9</formula>
    </cfRule>
  </conditionalFormatting>
  <dataValidations count="2">
    <dataValidation type="list" showErrorMessage="1" error="Please choose or enter a component abbreviation set up on the Agency Information worksheet." sqref="I9:I10">
      <formula1>ComponentAbbreviation</formula1>
    </dataValidation>
    <dataValidation type="whole" operator="greaterThanOrEqual" showInputMessage="1" showErrorMessage="1" error="Please enter a non-negative integer." sqref="J9:M10">
      <formula1>0</formula1>
    </dataValidation>
  </dataValidations>
  <pageMargins left="0.7" right="0.7" top="0.75" bottom="0.75" header="0.3" footer="0.3"/>
  <pageSetup orientation="portrait" horizont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BackloggedRequestComparison"/>
  <dimension ref="A1:L16"/>
  <sheetViews>
    <sheetView showRowColHeaders="0" topLeftCell="E2" workbookViewId="0">
      <selection activeCell="F8" sqref="F8"/>
    </sheetView>
  </sheetViews>
  <sheetFormatPr defaultRowHeight="15" x14ac:dyDescent="0.25"/>
  <cols>
    <col min="1" max="4" width="14.42578125" style="66" hidden="1" customWidth="1"/>
    <col min="5" max="5" width="3.7109375" style="66" customWidth="1"/>
    <col min="6" max="6" width="20.7109375" style="66" customWidth="1"/>
    <col min="7" max="8" width="22.7109375" style="66" customWidth="1"/>
    <col min="9" max="16384" width="9.140625" style="66"/>
  </cols>
  <sheetData>
    <row r="1" spans="1:12" s="70" customFormat="1" ht="30" hidden="1" x14ac:dyDescent="0.25">
      <c r="A1" s="70" t="s">
        <v>19</v>
      </c>
      <c r="B1" s="72" t="s">
        <v>217</v>
      </c>
      <c r="C1" s="72" t="s">
        <v>218</v>
      </c>
      <c r="D1" s="88" t="s">
        <v>249</v>
      </c>
    </row>
    <row r="2" spans="1:12" s="82" customFormat="1" ht="9.9499999999999993" customHeight="1" x14ac:dyDescent="0.25">
      <c r="D2" s="88"/>
    </row>
    <row r="3" spans="1:12" s="82" customFormat="1" ht="66" customHeight="1" x14ac:dyDescent="0.25">
      <c r="D3" s="88"/>
      <c r="F3" s="145" t="s">
        <v>251</v>
      </c>
      <c r="G3" s="146"/>
      <c r="H3" s="146"/>
      <c r="I3" s="84"/>
      <c r="J3" s="84"/>
    </row>
    <row r="5" spans="1:12" ht="15.75" x14ac:dyDescent="0.25">
      <c r="F5" s="129" t="s">
        <v>253</v>
      </c>
      <c r="G5" s="129"/>
      <c r="H5" s="129"/>
      <c r="I5" s="129"/>
      <c r="J5" s="129"/>
      <c r="K5" s="129"/>
      <c r="L5" s="80"/>
    </row>
    <row r="7" spans="1:12" ht="48" x14ac:dyDescent="0.25">
      <c r="F7" s="102" t="s">
        <v>283</v>
      </c>
      <c r="G7" s="98" t="s">
        <v>215</v>
      </c>
      <c r="H7" s="98" t="s">
        <v>216</v>
      </c>
    </row>
    <row r="8" spans="1:12" x14ac:dyDescent="0.25">
      <c r="A8" s="66" t="b">
        <f>OR(COUNTIF($F$8:$F$10,F8)&gt;1,AND(NOT(ISBLANK(F8)),ISNA(MATCH(F8,ComponentAbbreviation,0))))</f>
        <v>0</v>
      </c>
      <c r="B8" s="66" t="b">
        <f>OR(AND(ISBLANK($F8),NOT(ISBLANK(G8))),AND(NOT(ISBLANK($F8)),NOT(IsNonNegativeInteger(G8))))</f>
        <v>0</v>
      </c>
      <c r="C8" s="66" t="b">
        <f>OR(AND(ISBLANK(F8),NOT(ISBLANK(H8))),AND(NOT(ISBLANK(F8)),IF(ISNA(D8),TRUE,H8&lt;&gt;D8)))</f>
        <v>0</v>
      </c>
      <c r="D8" s="66">
        <f>INDEX(XII_A_BackloggedRequests,MATCH(F8,XII_A_Components,0))</f>
        <v>0</v>
      </c>
      <c r="F8" s="105" t="s">
        <v>295</v>
      </c>
      <c r="G8" s="16">
        <v>0</v>
      </c>
      <c r="H8" s="16">
        <v>0</v>
      </c>
    </row>
    <row r="9" spans="1:12" x14ac:dyDescent="0.25">
      <c r="A9" s="66" t="b">
        <f>OR(COUNTIF($F$8:$F$10,F9)&gt;1,AND(NOT(ISBLANK(F9)),ISNA(MATCH(F9,ComponentAbbreviation,0))))</f>
        <v>0</v>
      </c>
      <c r="B9" s="66" t="b">
        <f>OR(AND(ISBLANK($F9),NOT(ISBLANK(G9))),AND(NOT(ISBLANK($F9)),NOT(IsNonNegativeInteger(G9))))</f>
        <v>0</v>
      </c>
      <c r="C9" s="66" t="b">
        <f>OR(AND(ISBLANK(F9),NOT(ISBLANK(H9))),AND(NOT(ISBLANK(F9)),IF(ISNA(D9),TRUE,H9&lt;&gt;D9)))</f>
        <v>0</v>
      </c>
      <c r="D9" s="66" t="e">
        <f>INDEX(XII_A_BackloggedRequests,MATCH(F9,XII_A_Components,0))</f>
        <v>#N/A</v>
      </c>
      <c r="F9" s="105"/>
      <c r="G9" s="16"/>
      <c r="H9" s="16"/>
    </row>
    <row r="10" spans="1:12" x14ac:dyDescent="0.25">
      <c r="C10" s="66" t="b">
        <f>OR(AND(ISBLANK(F10),NOT(ISBLANK(H10))),AND(NOT(ISBLANK(F10)),IF(ISNA(D10),TRUE,H10&lt;&gt;D10)))</f>
        <v>0</v>
      </c>
      <c r="D10" s="66">
        <f>INDEX(XII_A_BackloggedRequests,MATCH(F10,XII_A_Components,0))</f>
        <v>0</v>
      </c>
      <c r="F10" s="1" t="s">
        <v>48</v>
      </c>
      <c r="G10" s="65">
        <f>SUM(G8:ptrCellAbove)</f>
        <v>0</v>
      </c>
      <c r="H10" s="65">
        <f>SUM(H8:ptrCellAbove)</f>
        <v>0</v>
      </c>
    </row>
    <row r="11" spans="1:12" x14ac:dyDescent="0.25">
      <c r="A11" s="66" t="b">
        <f>COUNTIF(A8:C10,TRUE)&lt;&gt;0</f>
        <v>0</v>
      </c>
    </row>
    <row r="12" spans="1:12" ht="15.75" x14ac:dyDescent="0.25">
      <c r="F12" s="71" t="s">
        <v>30</v>
      </c>
    </row>
    <row r="13" spans="1:12" x14ac:dyDescent="0.25">
      <c r="F13" s="144"/>
      <c r="G13" s="144"/>
      <c r="H13" s="144"/>
      <c r="I13" s="144"/>
      <c r="J13" s="144"/>
      <c r="K13" s="144"/>
      <c r="L13" s="144"/>
    </row>
    <row r="14" spans="1:12" ht="15" customHeight="1" x14ac:dyDescent="0.25">
      <c r="F14" s="122"/>
      <c r="G14" s="123"/>
      <c r="H14" s="123"/>
      <c r="I14" s="123"/>
      <c r="J14" s="123"/>
      <c r="K14" s="123"/>
      <c r="L14" s="124"/>
    </row>
    <row r="15" spans="1:12" ht="15" customHeight="1" x14ac:dyDescent="0.25">
      <c r="F15" s="122"/>
      <c r="G15" s="123"/>
      <c r="H15" s="123"/>
      <c r="I15" s="123"/>
      <c r="J15" s="123"/>
      <c r="K15" s="123"/>
      <c r="L15" s="124"/>
    </row>
    <row r="16" spans="1:12" x14ac:dyDescent="0.25">
      <c r="F16" s="144"/>
      <c r="G16" s="144"/>
      <c r="H16" s="144"/>
      <c r="I16" s="144"/>
      <c r="J16" s="144"/>
      <c r="K16" s="144"/>
      <c r="L16" s="144"/>
    </row>
  </sheetData>
  <sheetProtection sheet="1" objects="1" scenarios="1" selectLockedCells="1"/>
  <mergeCells count="6">
    <mergeCell ref="F3:H3"/>
    <mergeCell ref="F14:L14"/>
    <mergeCell ref="F15:L15"/>
    <mergeCell ref="F13:L13"/>
    <mergeCell ref="F16:L16"/>
    <mergeCell ref="F5:K5"/>
  </mergeCells>
  <conditionalFormatting sqref="G10:H10 F8:H9">
    <cfRule type="expression" dxfId="2" priority="1" stopIfTrue="1">
      <formula>A8</formula>
    </cfRule>
  </conditionalFormatting>
  <dataValidations count="2">
    <dataValidation type="list" showErrorMessage="1" error="Please choose or enter a component abbreviation set up on the Agency Information worksheet." sqref="F8:F9">
      <formula1>ComponentAbbreviation</formula1>
    </dataValidation>
    <dataValidation type="whole" operator="greaterThanOrEqual" showInputMessage="1" showErrorMessage="1" error="Please enter a non-negative integer." sqref="G8:H9">
      <formula1>0</formula1>
    </dataValidation>
  </dataValidations>
  <pageMargins left="0.7" right="0.7" top="0.75" bottom="0.75" header="0.3" footer="0.3"/>
  <pageSetup orientation="portrait" horizont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AppealComparison"/>
  <dimension ref="A1:O17"/>
  <sheetViews>
    <sheetView showRowColHeaders="0" topLeftCell="H2" workbookViewId="0">
      <selection activeCell="I9" sqref="I9"/>
    </sheetView>
  </sheetViews>
  <sheetFormatPr defaultRowHeight="15" x14ac:dyDescent="0.25"/>
  <cols>
    <col min="1" max="7" width="14.42578125" style="66" hidden="1" customWidth="1"/>
    <col min="8" max="8" width="3.7109375" style="66" customWidth="1"/>
    <col min="9" max="13" width="20.7109375" style="66" customWidth="1"/>
    <col min="14" max="16384" width="9.140625" style="66"/>
  </cols>
  <sheetData>
    <row r="1" spans="1:15" s="72" customFormat="1" ht="45" hidden="1" x14ac:dyDescent="0.25">
      <c r="A1" s="72" t="s">
        <v>19</v>
      </c>
      <c r="B1" s="72" t="s">
        <v>209</v>
      </c>
      <c r="C1" s="72" t="s">
        <v>210</v>
      </c>
      <c r="D1" s="72" t="s">
        <v>211</v>
      </c>
      <c r="E1" s="72" t="s">
        <v>212</v>
      </c>
      <c r="F1" s="76" t="s">
        <v>222</v>
      </c>
      <c r="G1" s="76" t="s">
        <v>223</v>
      </c>
    </row>
    <row r="2" spans="1:15" s="82" customFormat="1" ht="9.9499999999999993" customHeight="1" x14ac:dyDescent="0.25"/>
    <row r="3" spans="1:15" s="82" customFormat="1" ht="42.75" customHeight="1" x14ac:dyDescent="0.25">
      <c r="I3" s="145" t="s">
        <v>248</v>
      </c>
      <c r="J3" s="146"/>
      <c r="K3" s="146"/>
      <c r="L3" s="146"/>
      <c r="M3" s="146"/>
    </row>
    <row r="5" spans="1:15" ht="15.75" x14ac:dyDescent="0.25">
      <c r="I5" s="129" t="s">
        <v>221</v>
      </c>
      <c r="J5" s="129"/>
      <c r="K5" s="129"/>
      <c r="L5" s="129"/>
      <c r="M5" s="129"/>
      <c r="N5" s="80"/>
      <c r="O5" s="80"/>
    </row>
    <row r="7" spans="1:15" ht="30" customHeight="1" x14ac:dyDescent="0.25">
      <c r="I7" s="140" t="s">
        <v>283</v>
      </c>
      <c r="J7" s="152" t="s">
        <v>245</v>
      </c>
      <c r="K7" s="152"/>
      <c r="L7" s="152" t="s">
        <v>246</v>
      </c>
      <c r="M7" s="152"/>
    </row>
    <row r="8" spans="1:15" ht="36" x14ac:dyDescent="0.25">
      <c r="I8" s="141"/>
      <c r="J8" s="74" t="s">
        <v>205</v>
      </c>
      <c r="K8" s="74" t="s">
        <v>206</v>
      </c>
      <c r="L8" s="74" t="s">
        <v>207</v>
      </c>
      <c r="M8" s="74" t="s">
        <v>208</v>
      </c>
    </row>
    <row r="9" spans="1:15" x14ac:dyDescent="0.25">
      <c r="A9" s="66" t="b">
        <f>OR(COUNTIF($I$9:$I$11,I9)&gt;1,AND(NOT(ISBLANK(I9)),ISNA(MATCH(I9,ComponentAbbreviation,0))))</f>
        <v>0</v>
      </c>
      <c r="B9" s="66" t="b">
        <f>OR(AND(ISBLANK($I9),NOT(ISBLANK(J9))),AND(NOT(ISBLANK($I9)),NOT(IsNonNegativeInteger(J9))))</f>
        <v>0</v>
      </c>
      <c r="C9" s="66" t="b">
        <f>OR(AND(ISBLANK(I9),NOT(ISBLANK(K9))),AND(NOT(ISBLANK(I9)),IF(ISNA(F9),TRUE,K9&lt;&gt;F9)))</f>
        <v>0</v>
      </c>
      <c r="D9" s="66" t="b">
        <f>OR(AND(ISBLANK($I9),NOT(ISBLANK(L9))),AND(NOT(ISBLANK($I9)),NOT(IsNonNegativeInteger(L9))))</f>
        <v>0</v>
      </c>
      <c r="E9" s="66" t="b">
        <f>OR(AND(ISBLANK(I9),NOT(ISBLANK(M9))),AND(NOT(ISBLANK(I9)),IF(ISNA(G9),TRUE,M9&lt;&gt;G9)))</f>
        <v>0</v>
      </c>
      <c r="F9" s="66">
        <f>INDEX(VI_A_Received,MATCH(I9,VI_A_Components,0))</f>
        <v>0</v>
      </c>
      <c r="G9" s="66">
        <f>INDEX(VI_A_Processed,MATCH(I9,VI_A_Components,0))</f>
        <v>0</v>
      </c>
      <c r="I9" s="105" t="s">
        <v>295</v>
      </c>
      <c r="J9" s="16">
        <v>0</v>
      </c>
      <c r="K9" s="16"/>
      <c r="L9" s="16">
        <v>0</v>
      </c>
      <c r="M9" s="16"/>
    </row>
    <row r="10" spans="1:15" x14ac:dyDescent="0.25">
      <c r="A10" s="66" t="b">
        <f>OR(COUNTIF($I$9:$I$11,I10)&gt;1,AND(NOT(ISBLANK(I10)),ISNA(MATCH(I10,ComponentAbbreviation,0))))</f>
        <v>0</v>
      </c>
      <c r="B10" s="66" t="b">
        <f>OR(AND(ISBLANK($I10),NOT(ISBLANK(J10))),AND(NOT(ISBLANK($I10)),NOT(IsNonNegativeInteger(J10))))</f>
        <v>0</v>
      </c>
      <c r="C10" s="66" t="b">
        <f>OR(AND(ISBLANK(I10),NOT(ISBLANK(K10))),AND(NOT(ISBLANK(I10)),IF(ISNA(F10),TRUE,K10&lt;&gt;F10)))</f>
        <v>0</v>
      </c>
      <c r="D10" s="66" t="b">
        <f>OR(AND(ISBLANK($I10),NOT(ISBLANK(L10))),AND(NOT(ISBLANK($I10)),NOT(IsNonNegativeInteger(L10))))</f>
        <v>0</v>
      </c>
      <c r="E10" s="66" t="b">
        <f>OR(AND(ISBLANK(I10),NOT(ISBLANK(M10))),AND(NOT(ISBLANK(I10)),IF(ISNA(G10),TRUE,M10&lt;&gt;G10)))</f>
        <v>0</v>
      </c>
      <c r="F10" s="66" t="e">
        <f>INDEX(VI_A_Received,MATCH(I10,VI_A_Components,0))</f>
        <v>#N/A</v>
      </c>
      <c r="G10" s="66" t="e">
        <f>INDEX(VI_A_Processed,MATCH(I10,VI_A_Components,0))</f>
        <v>#N/A</v>
      </c>
      <c r="I10" s="105"/>
      <c r="J10" s="16"/>
      <c r="K10" s="16"/>
      <c r="L10" s="16"/>
      <c r="M10" s="16"/>
    </row>
    <row r="11" spans="1:15" x14ac:dyDescent="0.25">
      <c r="C11" s="66" t="b">
        <f>OR(AND(ISBLANK(I11),NOT(ISBLANK(K11))),AND(NOT(ISBLANK(I11)),IF(ISNA(F11),TRUE,K11&lt;&gt;F11)))</f>
        <v>0</v>
      </c>
      <c r="E11" s="66" t="b">
        <f>OR(AND(ISBLANK(I11),NOT(ISBLANK(M11))),AND(NOT(ISBLANK(I11)),IF(ISNA(G11),TRUE,M11&lt;&gt;G11)))</f>
        <v>0</v>
      </c>
      <c r="F11" s="66">
        <f>INDEX(VI_A_Received,MATCH(I11,VI_A_Components,0))</f>
        <v>0</v>
      </c>
      <c r="G11" s="66">
        <f>INDEX(VI_A_Processed,MATCH(I11,VI_A_Components,0))</f>
        <v>0</v>
      </c>
      <c r="I11" s="1" t="s">
        <v>48</v>
      </c>
      <c r="J11" s="65">
        <f>SUM(J9:ptrCellAbove)</f>
        <v>0</v>
      </c>
      <c r="K11" s="65">
        <f>SUM(K9:ptrCellAbove)</f>
        <v>0</v>
      </c>
      <c r="L11" s="65">
        <f>SUM(L9:ptrCellAbove)</f>
        <v>0</v>
      </c>
      <c r="M11" s="65">
        <f>SUM(M9:ptrCellAbove)</f>
        <v>0</v>
      </c>
    </row>
    <row r="12" spans="1:15" x14ac:dyDescent="0.25">
      <c r="A12" s="66" t="b">
        <f>COUNTIF(A9:E11,TRUE)&lt;&gt;0</f>
        <v>0</v>
      </c>
    </row>
    <row r="13" spans="1:15" ht="15.75" x14ac:dyDescent="0.25">
      <c r="I13" s="73" t="s">
        <v>30</v>
      </c>
    </row>
    <row r="14" spans="1:15" x14ac:dyDescent="0.25">
      <c r="I14" s="128"/>
      <c r="J14" s="128"/>
      <c r="K14" s="128"/>
      <c r="L14" s="128"/>
      <c r="M14" s="128"/>
    </row>
    <row r="15" spans="1:15" ht="15" customHeight="1" x14ac:dyDescent="0.25">
      <c r="I15" s="122"/>
      <c r="J15" s="123"/>
      <c r="K15" s="123"/>
      <c r="L15" s="123"/>
      <c r="M15" s="124"/>
    </row>
    <row r="16" spans="1:15" ht="15" customHeight="1" x14ac:dyDescent="0.25">
      <c r="I16" s="122"/>
      <c r="J16" s="123"/>
      <c r="K16" s="123"/>
      <c r="L16" s="123"/>
      <c r="M16" s="124"/>
    </row>
    <row r="17" spans="9:13" x14ac:dyDescent="0.25">
      <c r="I17" s="121"/>
      <c r="J17" s="121"/>
      <c r="K17" s="121"/>
      <c r="L17" s="121"/>
      <c r="M17" s="121"/>
    </row>
  </sheetData>
  <sheetProtection sheet="1" objects="1" scenarios="1" selectLockedCells="1"/>
  <mergeCells count="9">
    <mergeCell ref="I3:M3"/>
    <mergeCell ref="I5:M5"/>
    <mergeCell ref="I16:M16"/>
    <mergeCell ref="I17:M17"/>
    <mergeCell ref="I7:I8"/>
    <mergeCell ref="J7:K7"/>
    <mergeCell ref="L7:M7"/>
    <mergeCell ref="I14:M14"/>
    <mergeCell ref="I15:M15"/>
  </mergeCells>
  <conditionalFormatting sqref="J11:M11 I9:M10">
    <cfRule type="expression" dxfId="1" priority="1" stopIfTrue="1">
      <formula>A9</formula>
    </cfRule>
  </conditionalFormatting>
  <dataValidations count="2">
    <dataValidation type="list" showErrorMessage="1" error="Please choose or enter a component abbreviation set up on the Agency Information worksheet." sqref="I9:I10">
      <formula1>ComponentAbbreviation</formula1>
    </dataValidation>
    <dataValidation type="whole" operator="greaterThanOrEqual" showInputMessage="1" showErrorMessage="1" error="Please enter a non-negative integer." sqref="J9:M10">
      <formula1>0</formula1>
    </dataValidation>
  </dataValidations>
  <pageMargins left="0.7" right="0.7" top="0.75" bottom="0.75" header="0.3" footer="0.3"/>
  <pageSetup orientation="portrait" horizontalDpi="3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BackloggedAppealComparison"/>
  <dimension ref="A1:N16"/>
  <sheetViews>
    <sheetView showRowColHeaders="0" topLeftCell="E2" workbookViewId="0">
      <selection activeCell="F8" sqref="F8"/>
    </sheetView>
  </sheetViews>
  <sheetFormatPr defaultRowHeight="15" x14ac:dyDescent="0.25"/>
  <cols>
    <col min="1" max="4" width="14.42578125" style="66" hidden="1" customWidth="1"/>
    <col min="5" max="5" width="3.7109375" style="66" customWidth="1"/>
    <col min="6" max="6" width="20.7109375" style="66" customWidth="1"/>
    <col min="7" max="8" width="22.7109375" style="66" customWidth="1"/>
    <col min="9" max="16384" width="9.140625" style="66"/>
  </cols>
  <sheetData>
    <row r="1" spans="1:14" s="76" customFormat="1" ht="30" hidden="1" x14ac:dyDescent="0.25">
      <c r="A1" s="76" t="s">
        <v>19</v>
      </c>
      <c r="B1" s="76" t="s">
        <v>217</v>
      </c>
      <c r="C1" s="76" t="s">
        <v>218</v>
      </c>
      <c r="D1" s="88" t="s">
        <v>250</v>
      </c>
    </row>
    <row r="2" spans="1:14" s="82" customFormat="1" ht="9.9499999999999993" customHeight="1" x14ac:dyDescent="0.25">
      <c r="D2" s="88"/>
    </row>
    <row r="3" spans="1:14" s="82" customFormat="1" ht="68.25" customHeight="1" x14ac:dyDescent="0.25">
      <c r="D3" s="88"/>
      <c r="F3" s="145" t="s">
        <v>251</v>
      </c>
      <c r="G3" s="146"/>
      <c r="H3" s="146"/>
    </row>
    <row r="5" spans="1:14" ht="15.75" x14ac:dyDescent="0.25">
      <c r="F5" s="129" t="s">
        <v>252</v>
      </c>
      <c r="G5" s="129"/>
      <c r="H5" s="129"/>
      <c r="I5" s="129"/>
      <c r="J5" s="129"/>
      <c r="K5" s="129"/>
      <c r="L5" s="129"/>
      <c r="M5" s="80"/>
      <c r="N5" s="80"/>
    </row>
    <row r="7" spans="1:14" ht="48" x14ac:dyDescent="0.25">
      <c r="F7" s="102" t="s">
        <v>283</v>
      </c>
      <c r="G7" s="98" t="s">
        <v>225</v>
      </c>
      <c r="H7" s="98" t="s">
        <v>226</v>
      </c>
    </row>
    <row r="8" spans="1:14" x14ac:dyDescent="0.25">
      <c r="A8" s="66" t="b">
        <f>OR(COUNTIF($F$8:$F$10,F8)&gt;1,AND(NOT(ISBLANK(F8)),ISNA(MATCH(F8,ComponentAbbreviation,0))))</f>
        <v>0</v>
      </c>
      <c r="B8" s="66" t="b">
        <f>OR(AND(ISBLANK($F8),NOT(ISBLANK(G8))),AND(NOT(ISBLANK($F8)),NOT(IsNonNegativeInteger(G8))))</f>
        <v>0</v>
      </c>
      <c r="C8" s="66" t="b">
        <f>OR(AND(ISBLANK(F8),NOT(ISBLANK(H8))),AND(NOT(ISBLANK(F8)),IF(ISNA(D8),TRUE,H8&lt;&gt;D8)))</f>
        <v>0</v>
      </c>
      <c r="D8" s="66">
        <f>INDEX(XII_A_BackloggedAppeals,MATCH(F8,XII_A_Components,0))</f>
        <v>0</v>
      </c>
      <c r="F8" s="105" t="s">
        <v>295</v>
      </c>
      <c r="G8" s="16">
        <v>0</v>
      </c>
      <c r="H8" s="16">
        <v>0</v>
      </c>
    </row>
    <row r="9" spans="1:14" x14ac:dyDescent="0.25">
      <c r="A9" s="66" t="b">
        <f>OR(COUNTIF($F$8:$F$10,F9)&gt;1,AND(NOT(ISBLANK(F9)),ISNA(MATCH(F9,ComponentAbbreviation,0))))</f>
        <v>0</v>
      </c>
      <c r="B9" s="66" t="b">
        <f>OR(AND(ISBLANK($F9),NOT(ISBLANK(G9))),AND(NOT(ISBLANK($F9)),NOT(IsNonNegativeInteger(G9))))</f>
        <v>0</v>
      </c>
      <c r="C9" s="66" t="b">
        <f>OR(AND(ISBLANK(F9),NOT(ISBLANK(H9))),AND(NOT(ISBLANK(F9)),IF(ISNA(D9),TRUE,H9&lt;&gt;D9)))</f>
        <v>0</v>
      </c>
      <c r="D9" s="66" t="e">
        <f>INDEX(XII_A_BackloggedAppeals,MATCH(F9,XII_A_Components,0))</f>
        <v>#N/A</v>
      </c>
      <c r="F9" s="105"/>
      <c r="G9" s="16"/>
      <c r="H9" s="16"/>
    </row>
    <row r="10" spans="1:14" x14ac:dyDescent="0.25">
      <c r="C10" s="66" t="b">
        <f>OR(AND(ISBLANK(F10),NOT(ISBLANK(H10))),AND(NOT(ISBLANK(F10)),IF(ISNA(D10),TRUE,H10&lt;&gt;D10)))</f>
        <v>0</v>
      </c>
      <c r="D10" s="66">
        <f>INDEX(XII_A_BackloggedAppeals,MATCH(F10,XII_A_Components,0))</f>
        <v>0</v>
      </c>
      <c r="F10" s="1" t="s">
        <v>48</v>
      </c>
      <c r="G10" s="65">
        <f>SUM(G8:ptrCellAbove)</f>
        <v>0</v>
      </c>
      <c r="H10" s="65">
        <f>SUM(H8:ptrCellAbove)</f>
        <v>0</v>
      </c>
    </row>
    <row r="11" spans="1:14" x14ac:dyDescent="0.25">
      <c r="A11" s="66" t="b">
        <f>COUNTIF(A8:C10,TRUE)&lt;&gt;0</f>
        <v>0</v>
      </c>
    </row>
    <row r="12" spans="1:14" ht="15.75" x14ac:dyDescent="0.25">
      <c r="F12" s="75" t="s">
        <v>30</v>
      </c>
    </row>
    <row r="13" spans="1:14" x14ac:dyDescent="0.25">
      <c r="F13" s="144"/>
      <c r="G13" s="144"/>
      <c r="H13" s="144"/>
      <c r="I13" s="144"/>
      <c r="J13" s="144"/>
      <c r="K13" s="144"/>
      <c r="L13" s="144"/>
    </row>
    <row r="14" spans="1:14" ht="15" customHeight="1" x14ac:dyDescent="0.25">
      <c r="F14" s="122"/>
      <c r="G14" s="123"/>
      <c r="H14" s="123"/>
      <c r="I14" s="123"/>
      <c r="J14" s="123"/>
      <c r="K14" s="123"/>
      <c r="L14" s="124"/>
    </row>
    <row r="15" spans="1:14" ht="15" customHeight="1" x14ac:dyDescent="0.25">
      <c r="F15" s="122"/>
      <c r="G15" s="123"/>
      <c r="H15" s="123"/>
      <c r="I15" s="123"/>
      <c r="J15" s="123"/>
      <c r="K15" s="123"/>
      <c r="L15" s="124"/>
    </row>
    <row r="16" spans="1:14" x14ac:dyDescent="0.25">
      <c r="F16" s="144"/>
      <c r="G16" s="144"/>
      <c r="H16" s="144"/>
      <c r="I16" s="144"/>
      <c r="J16" s="144"/>
      <c r="K16" s="144"/>
      <c r="L16" s="144"/>
    </row>
  </sheetData>
  <sheetProtection sheet="1" objects="1" scenarios="1" selectLockedCells="1"/>
  <dataConsolidate link="1"/>
  <mergeCells count="6">
    <mergeCell ref="F3:H3"/>
    <mergeCell ref="F13:L13"/>
    <mergeCell ref="F14:L14"/>
    <mergeCell ref="F15:L15"/>
    <mergeCell ref="F16:L16"/>
    <mergeCell ref="F5:L5"/>
  </mergeCells>
  <conditionalFormatting sqref="G10:H10 F8:H9">
    <cfRule type="expression" dxfId="0" priority="1" stopIfTrue="1">
      <formula>A8</formula>
    </cfRule>
  </conditionalFormatting>
  <dataValidations count="2">
    <dataValidation type="list" showErrorMessage="1" error="Please choose or enter a component abbreviation set up on the Agency Information worksheet." sqref="F8:F9">
      <formula1>ComponentAbbreviation</formula1>
    </dataValidation>
    <dataValidation type="whole" operator="greaterThanOrEqual" showInputMessage="1" showErrorMessage="1" error="Please enter a non-negative integer." sqref="G8:H9">
      <formula1>0</formula1>
    </dataValidation>
  </dataValidations>
  <pageMargins left="0.7" right="0.7" top="0.75" bottom="0.75" header="0.3" footer="0.3"/>
  <pageSetup orientation="portrait" horizont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UISettings"/>
  <dimension ref="A1:G36"/>
  <sheetViews>
    <sheetView workbookViewId="0"/>
  </sheetViews>
  <sheetFormatPr defaultRowHeight="12.75" x14ac:dyDescent="0.2"/>
  <cols>
    <col min="1" max="1" width="32.140625" style="7" bestFit="1" customWidth="1"/>
    <col min="2" max="2" width="12.7109375" style="7" bestFit="1" customWidth="1"/>
    <col min="3" max="3" width="11.7109375" style="7" bestFit="1" customWidth="1"/>
    <col min="4" max="4" width="15.7109375" style="7" bestFit="1" customWidth="1"/>
    <col min="5" max="5" width="18.28515625" style="7" bestFit="1" customWidth="1"/>
    <col min="6" max="6" width="9.7109375" style="7" bestFit="1" customWidth="1"/>
    <col min="7" max="7" width="10" style="7" bestFit="1" customWidth="1"/>
    <col min="8" max="16384" width="9.140625" style="7"/>
  </cols>
  <sheetData>
    <row r="1" spans="1:7" x14ac:dyDescent="0.2">
      <c r="A1" s="3" t="s">
        <v>3</v>
      </c>
      <c r="B1" s="4" t="s">
        <v>4</v>
      </c>
      <c r="C1" s="4" t="s">
        <v>5</v>
      </c>
      <c r="D1" s="4" t="s">
        <v>6</v>
      </c>
      <c r="E1" s="5" t="s">
        <v>7</v>
      </c>
      <c r="F1" s="5" t="s">
        <v>8</v>
      </c>
      <c r="G1" s="5" t="s">
        <v>9</v>
      </c>
    </row>
    <row r="2" spans="1:7" x14ac:dyDescent="0.2">
      <c r="A2" s="7" t="s">
        <v>10</v>
      </c>
      <c r="B2" s="7">
        <v>1</v>
      </c>
      <c r="C2" s="7">
        <v>1</v>
      </c>
      <c r="D2" s="7">
        <f t="shared" ref="D2:D32" si="0">xlUnlockedCells</f>
        <v>1</v>
      </c>
      <c r="E2" s="7" t="b">
        <v>0</v>
      </c>
      <c r="F2" s="7" t="b">
        <v>1</v>
      </c>
      <c r="G2" s="7" t="b">
        <v>1</v>
      </c>
    </row>
    <row r="3" spans="1:7" x14ac:dyDescent="0.2">
      <c r="A3" s="7" t="s">
        <v>15</v>
      </c>
      <c r="B3" s="7">
        <v>1</v>
      </c>
      <c r="C3" s="7">
        <v>1</v>
      </c>
      <c r="D3" s="7">
        <f t="shared" si="0"/>
        <v>1</v>
      </c>
      <c r="E3" s="7" t="b">
        <v>0</v>
      </c>
      <c r="F3" s="7" t="b">
        <v>1</v>
      </c>
      <c r="G3" s="7" t="b">
        <v>1</v>
      </c>
    </row>
    <row r="4" spans="1:7" x14ac:dyDescent="0.2">
      <c r="A4" s="7" t="s">
        <v>20</v>
      </c>
      <c r="B4" s="7">
        <v>1</v>
      </c>
      <c r="C4" s="7">
        <v>4</v>
      </c>
      <c r="D4" s="7">
        <f t="shared" si="0"/>
        <v>1</v>
      </c>
      <c r="E4" s="7" t="b">
        <v>0</v>
      </c>
      <c r="F4" s="7" t="b">
        <v>1</v>
      </c>
      <c r="G4" s="7" t="b">
        <v>1</v>
      </c>
    </row>
    <row r="5" spans="1:7" x14ac:dyDescent="0.2">
      <c r="A5" s="7" t="s">
        <v>24</v>
      </c>
      <c r="B5" s="7">
        <v>1</v>
      </c>
      <c r="C5" s="7">
        <v>15</v>
      </c>
      <c r="D5" s="7">
        <f t="shared" si="0"/>
        <v>1</v>
      </c>
      <c r="E5" s="7" t="b">
        <v>0</v>
      </c>
      <c r="F5" s="7" t="b">
        <v>1</v>
      </c>
      <c r="G5" s="7" t="b">
        <v>1</v>
      </c>
    </row>
    <row r="6" spans="1:7" x14ac:dyDescent="0.2">
      <c r="A6" s="7" t="s">
        <v>65</v>
      </c>
      <c r="B6" s="7">
        <v>1</v>
      </c>
      <c r="C6" s="7">
        <v>5</v>
      </c>
      <c r="D6" s="7">
        <f t="shared" si="0"/>
        <v>1</v>
      </c>
      <c r="E6" s="7" t="b">
        <v>0</v>
      </c>
      <c r="F6" s="7" t="b">
        <v>1</v>
      </c>
      <c r="G6" s="7" t="b">
        <v>1</v>
      </c>
    </row>
    <row r="7" spans="1:7" x14ac:dyDescent="0.2">
      <c r="A7" s="7" t="s">
        <v>49</v>
      </c>
      <c r="B7" s="7">
        <v>1</v>
      </c>
      <c r="C7" s="7">
        <v>15</v>
      </c>
      <c r="D7" s="7">
        <f t="shared" si="0"/>
        <v>1</v>
      </c>
      <c r="E7" s="7" t="b">
        <v>0</v>
      </c>
      <c r="F7" s="7" t="b">
        <v>1</v>
      </c>
      <c r="G7" s="7" t="b">
        <v>1</v>
      </c>
    </row>
    <row r="8" spans="1:7" x14ac:dyDescent="0.2">
      <c r="A8" s="7" t="s">
        <v>70</v>
      </c>
      <c r="B8" s="7">
        <v>1</v>
      </c>
      <c r="C8" s="7">
        <v>4</v>
      </c>
      <c r="D8" s="7">
        <f t="shared" si="0"/>
        <v>1</v>
      </c>
      <c r="E8" s="7" t="b">
        <v>0</v>
      </c>
      <c r="F8" s="7" t="b">
        <v>1</v>
      </c>
      <c r="G8" s="7" t="b">
        <v>1</v>
      </c>
    </row>
    <row r="9" spans="1:7" x14ac:dyDescent="0.2">
      <c r="A9" s="7" t="s">
        <v>79</v>
      </c>
      <c r="B9" s="7">
        <v>1</v>
      </c>
      <c r="C9" s="7">
        <v>7</v>
      </c>
      <c r="D9" s="7">
        <f t="shared" si="0"/>
        <v>1</v>
      </c>
      <c r="E9" s="7" t="b">
        <v>0</v>
      </c>
      <c r="F9" s="7" t="b">
        <v>1</v>
      </c>
      <c r="G9" s="7" t="b">
        <v>1</v>
      </c>
    </row>
    <row r="10" spans="1:7" x14ac:dyDescent="0.2">
      <c r="A10" s="7" t="s">
        <v>85</v>
      </c>
      <c r="B10" s="7">
        <v>1</v>
      </c>
      <c r="C10" s="7">
        <v>15</v>
      </c>
      <c r="D10" s="7">
        <f t="shared" si="0"/>
        <v>1</v>
      </c>
      <c r="E10" s="7" t="b">
        <v>0</v>
      </c>
      <c r="F10" s="7" t="b">
        <v>1</v>
      </c>
      <c r="G10" s="7" t="b">
        <v>1</v>
      </c>
    </row>
    <row r="11" spans="1:7" x14ac:dyDescent="0.2">
      <c r="A11" s="7" t="s">
        <v>87</v>
      </c>
      <c r="B11" s="7">
        <v>1</v>
      </c>
      <c r="C11" s="7">
        <v>12</v>
      </c>
      <c r="D11" s="7">
        <f t="shared" si="0"/>
        <v>1</v>
      </c>
      <c r="E11" s="7" t="b">
        <v>0</v>
      </c>
      <c r="F11" s="7" t="b">
        <v>1</v>
      </c>
      <c r="G11" s="7" t="b">
        <v>1</v>
      </c>
    </row>
    <row r="12" spans="1:7" x14ac:dyDescent="0.2">
      <c r="A12" s="7" t="s">
        <v>94</v>
      </c>
      <c r="B12" s="7">
        <v>1</v>
      </c>
      <c r="C12" s="7">
        <v>5</v>
      </c>
      <c r="D12" s="7">
        <f t="shared" si="0"/>
        <v>1</v>
      </c>
      <c r="E12" s="7" t="b">
        <v>0</v>
      </c>
      <c r="F12" s="7" t="b">
        <v>1</v>
      </c>
      <c r="G12" s="7" t="b">
        <v>1</v>
      </c>
    </row>
    <row r="13" spans="1:7" x14ac:dyDescent="0.2">
      <c r="A13" s="7" t="s">
        <v>96</v>
      </c>
      <c r="B13" s="7">
        <v>1</v>
      </c>
      <c r="C13" s="7">
        <v>5</v>
      </c>
      <c r="D13" s="7">
        <f t="shared" si="0"/>
        <v>1</v>
      </c>
      <c r="E13" s="7" t="b">
        <v>0</v>
      </c>
      <c r="F13" s="7" t="b">
        <v>1</v>
      </c>
      <c r="G13" s="7" t="b">
        <v>1</v>
      </c>
    </row>
    <row r="14" spans="1:7" x14ac:dyDescent="0.2">
      <c r="A14" s="7" t="s">
        <v>101</v>
      </c>
      <c r="B14" s="7">
        <v>1</v>
      </c>
      <c r="C14" s="7">
        <v>11</v>
      </c>
      <c r="D14" s="7">
        <f t="shared" si="0"/>
        <v>1</v>
      </c>
      <c r="E14" s="7" t="b">
        <v>0</v>
      </c>
      <c r="F14" s="7" t="b">
        <v>1</v>
      </c>
      <c r="G14" s="7" t="b">
        <v>1</v>
      </c>
    </row>
    <row r="15" spans="1:7" x14ac:dyDescent="0.2">
      <c r="A15" s="7" t="s">
        <v>124</v>
      </c>
      <c r="B15" s="7">
        <v>1</v>
      </c>
      <c r="C15" s="7">
        <v>13</v>
      </c>
      <c r="D15" s="7">
        <f t="shared" si="0"/>
        <v>1</v>
      </c>
      <c r="E15" s="7" t="b">
        <v>0</v>
      </c>
      <c r="F15" s="7" t="b">
        <v>1</v>
      </c>
      <c r="G15" s="7" t="b">
        <v>1</v>
      </c>
    </row>
    <row r="16" spans="1:7" x14ac:dyDescent="0.2">
      <c r="A16" s="7" t="s">
        <v>130</v>
      </c>
      <c r="B16" s="7">
        <v>1</v>
      </c>
      <c r="C16" s="7">
        <v>13</v>
      </c>
      <c r="D16" s="7">
        <f t="shared" si="0"/>
        <v>1</v>
      </c>
      <c r="E16" s="7" t="b">
        <v>0</v>
      </c>
      <c r="F16" s="7" t="b">
        <v>1</v>
      </c>
      <c r="G16" s="7" t="b">
        <v>1</v>
      </c>
    </row>
    <row r="17" spans="1:7" x14ac:dyDescent="0.2">
      <c r="A17" s="7" t="s">
        <v>145</v>
      </c>
      <c r="B17" s="7">
        <v>1</v>
      </c>
      <c r="C17" s="7">
        <v>14</v>
      </c>
      <c r="D17" s="7">
        <f t="shared" si="0"/>
        <v>1</v>
      </c>
      <c r="E17" s="7" t="b">
        <v>0</v>
      </c>
      <c r="F17" s="7" t="b">
        <v>1</v>
      </c>
      <c r="G17" s="7" t="b">
        <v>1</v>
      </c>
    </row>
    <row r="18" spans="1:7" x14ac:dyDescent="0.2">
      <c r="A18" s="7" t="s">
        <v>146</v>
      </c>
      <c r="B18" s="7">
        <v>1</v>
      </c>
      <c r="C18" s="7">
        <v>14</v>
      </c>
      <c r="D18" s="7">
        <f t="shared" si="0"/>
        <v>1</v>
      </c>
      <c r="E18" s="7" t="b">
        <v>0</v>
      </c>
      <c r="F18" s="7" t="b">
        <v>1</v>
      </c>
      <c r="G18" s="7" t="b">
        <v>1</v>
      </c>
    </row>
    <row r="19" spans="1:7" x14ac:dyDescent="0.2">
      <c r="A19" s="7" t="s">
        <v>147</v>
      </c>
      <c r="B19" s="7">
        <v>1</v>
      </c>
      <c r="C19" s="7">
        <v>14</v>
      </c>
      <c r="D19" s="7">
        <f t="shared" si="0"/>
        <v>1</v>
      </c>
      <c r="E19" s="7" t="b">
        <v>0</v>
      </c>
      <c r="F19" s="7" t="b">
        <v>1</v>
      </c>
      <c r="G19" s="7" t="b">
        <v>1</v>
      </c>
    </row>
    <row r="20" spans="1:7" x14ac:dyDescent="0.2">
      <c r="A20" s="7" t="s">
        <v>150</v>
      </c>
      <c r="B20" s="7">
        <v>1</v>
      </c>
      <c r="C20" s="7">
        <v>10</v>
      </c>
      <c r="D20" s="7">
        <f t="shared" si="0"/>
        <v>1</v>
      </c>
      <c r="E20" s="7" t="b">
        <v>0</v>
      </c>
      <c r="F20" s="7" t="b">
        <v>1</v>
      </c>
      <c r="G20" s="7" t="b">
        <v>1</v>
      </c>
    </row>
    <row r="21" spans="1:7" x14ac:dyDescent="0.2">
      <c r="A21" s="7" t="s">
        <v>153</v>
      </c>
      <c r="B21" s="7">
        <v>1</v>
      </c>
      <c r="C21" s="7">
        <v>11</v>
      </c>
      <c r="D21" s="7">
        <f t="shared" si="0"/>
        <v>1</v>
      </c>
      <c r="E21" s="7" t="b">
        <v>0</v>
      </c>
      <c r="F21" s="7" t="b">
        <v>1</v>
      </c>
      <c r="G21" s="7" t="b">
        <v>1</v>
      </c>
    </row>
    <row r="22" spans="1:7" x14ac:dyDescent="0.2">
      <c r="A22" s="7" t="s">
        <v>158</v>
      </c>
      <c r="B22" s="7">
        <v>1</v>
      </c>
      <c r="C22" s="7">
        <v>6</v>
      </c>
      <c r="D22" s="7">
        <f t="shared" si="0"/>
        <v>1</v>
      </c>
      <c r="E22" s="7" t="b">
        <v>0</v>
      </c>
      <c r="F22" s="7" t="b">
        <v>1</v>
      </c>
      <c r="G22" s="7" t="b">
        <v>1</v>
      </c>
    </row>
    <row r="23" spans="1:7" x14ac:dyDescent="0.2">
      <c r="A23" s="7" t="s">
        <v>168</v>
      </c>
      <c r="B23" s="7">
        <v>1</v>
      </c>
      <c r="C23" s="7">
        <v>5</v>
      </c>
      <c r="D23" s="7">
        <f t="shared" si="0"/>
        <v>1</v>
      </c>
      <c r="E23" s="7" t="b">
        <v>0</v>
      </c>
      <c r="F23" s="7" t="b">
        <v>1</v>
      </c>
      <c r="G23" s="7" t="b">
        <v>1</v>
      </c>
    </row>
    <row r="24" spans="1:7" x14ac:dyDescent="0.2">
      <c r="A24" s="7" t="s">
        <v>170</v>
      </c>
      <c r="B24" s="7">
        <v>1</v>
      </c>
      <c r="C24" s="7">
        <v>5</v>
      </c>
      <c r="D24" s="7">
        <f t="shared" si="0"/>
        <v>1</v>
      </c>
      <c r="E24" s="7" t="b">
        <v>0</v>
      </c>
      <c r="F24" s="7" t="b">
        <v>1</v>
      </c>
      <c r="G24" s="7" t="b">
        <v>1</v>
      </c>
    </row>
    <row r="25" spans="1:7" x14ac:dyDescent="0.2">
      <c r="A25" s="7" t="s">
        <v>185</v>
      </c>
      <c r="B25" s="7">
        <v>1</v>
      </c>
      <c r="C25" s="7">
        <v>3</v>
      </c>
      <c r="D25" s="7">
        <f t="shared" si="0"/>
        <v>1</v>
      </c>
      <c r="E25" s="7" t="b">
        <v>0</v>
      </c>
      <c r="F25" s="7" t="b">
        <v>1</v>
      </c>
      <c r="G25" s="7" t="b">
        <v>1</v>
      </c>
    </row>
    <row r="26" spans="1:7" x14ac:dyDescent="0.2">
      <c r="A26" s="7" t="s">
        <v>190</v>
      </c>
      <c r="B26" s="7">
        <v>1</v>
      </c>
      <c r="C26" s="7">
        <v>3</v>
      </c>
      <c r="D26" s="7">
        <f t="shared" si="0"/>
        <v>1</v>
      </c>
      <c r="E26" s="7" t="b">
        <v>0</v>
      </c>
      <c r="F26" s="7" t="b">
        <v>1</v>
      </c>
      <c r="G26" s="7" t="b">
        <v>1</v>
      </c>
    </row>
    <row r="27" spans="1:7" x14ac:dyDescent="0.2">
      <c r="A27" s="7" t="s">
        <v>196</v>
      </c>
      <c r="B27" s="7">
        <v>1</v>
      </c>
      <c r="C27" s="7">
        <v>4</v>
      </c>
      <c r="D27" s="7">
        <f t="shared" si="0"/>
        <v>1</v>
      </c>
      <c r="E27" s="7" t="b">
        <v>0</v>
      </c>
      <c r="F27" s="7" t="b">
        <v>1</v>
      </c>
      <c r="G27" s="7" t="b">
        <v>1</v>
      </c>
    </row>
    <row r="28" spans="1:7" x14ac:dyDescent="0.2">
      <c r="A28" s="7" t="s">
        <v>198</v>
      </c>
      <c r="B28" s="7">
        <v>1</v>
      </c>
      <c r="C28" s="7">
        <v>11</v>
      </c>
      <c r="D28" s="7">
        <f t="shared" si="0"/>
        <v>1</v>
      </c>
      <c r="E28" s="7" t="b">
        <v>0</v>
      </c>
      <c r="F28" s="7" t="b">
        <v>1</v>
      </c>
      <c r="G28" s="7" t="b">
        <v>1</v>
      </c>
    </row>
    <row r="29" spans="1:7" x14ac:dyDescent="0.2">
      <c r="A29" s="7" t="s">
        <v>204</v>
      </c>
      <c r="B29" s="7">
        <v>1</v>
      </c>
      <c r="C29" s="7">
        <v>7</v>
      </c>
      <c r="D29" s="7">
        <f t="shared" si="0"/>
        <v>1</v>
      </c>
      <c r="E29" s="7" t="b">
        <v>0</v>
      </c>
      <c r="F29" s="7" t="b">
        <v>1</v>
      </c>
      <c r="G29" s="7" t="b">
        <v>1</v>
      </c>
    </row>
    <row r="30" spans="1:7" x14ac:dyDescent="0.2">
      <c r="A30" s="7" t="s">
        <v>219</v>
      </c>
      <c r="B30" s="7">
        <v>1</v>
      </c>
      <c r="C30" s="7">
        <v>4</v>
      </c>
      <c r="D30" s="7">
        <f t="shared" si="0"/>
        <v>1</v>
      </c>
      <c r="E30" s="7" t="b">
        <v>0</v>
      </c>
      <c r="F30" s="7" t="b">
        <v>1</v>
      </c>
      <c r="G30" s="7" t="b">
        <v>1</v>
      </c>
    </row>
    <row r="31" spans="1:7" x14ac:dyDescent="0.2">
      <c r="A31" s="7" t="s">
        <v>220</v>
      </c>
      <c r="B31" s="7">
        <v>1</v>
      </c>
      <c r="C31" s="7">
        <v>7</v>
      </c>
      <c r="D31" s="7">
        <f t="shared" si="0"/>
        <v>1</v>
      </c>
      <c r="E31" s="7" t="b">
        <v>0</v>
      </c>
      <c r="F31" s="7" t="b">
        <v>1</v>
      </c>
      <c r="G31" s="7" t="b">
        <v>1</v>
      </c>
    </row>
    <row r="32" spans="1:7" x14ac:dyDescent="0.2">
      <c r="A32" s="7" t="s">
        <v>224</v>
      </c>
      <c r="B32" s="7">
        <v>1</v>
      </c>
      <c r="C32" s="7">
        <v>4</v>
      </c>
      <c r="D32" s="7">
        <f t="shared" si="0"/>
        <v>1</v>
      </c>
      <c r="E32" s="7" t="b">
        <v>0</v>
      </c>
      <c r="F32" s="7" t="b">
        <v>1</v>
      </c>
      <c r="G32" s="7" t="b">
        <v>1</v>
      </c>
    </row>
    <row r="33" spans="1:7" s="9" customFormat="1" ht="14.25" x14ac:dyDescent="0.2">
      <c r="A33" s="8" t="s">
        <v>263</v>
      </c>
      <c r="B33" s="8">
        <v>0</v>
      </c>
      <c r="C33" s="8">
        <v>0</v>
      </c>
      <c r="D33" s="8">
        <f>xlNoRestrictions</f>
        <v>0</v>
      </c>
      <c r="E33" s="8" t="b">
        <v>0</v>
      </c>
      <c r="F33" s="8" t="b">
        <v>0</v>
      </c>
      <c r="G33" s="8" t="b">
        <v>1</v>
      </c>
    </row>
    <row r="34" spans="1:7" s="9" customFormat="1" ht="14.25" x14ac:dyDescent="0.2">
      <c r="A34" s="8" t="s">
        <v>194</v>
      </c>
      <c r="B34" s="8">
        <v>0</v>
      </c>
      <c r="C34" s="8">
        <v>0</v>
      </c>
      <c r="D34" s="8">
        <f>xlNoRestrictions</f>
        <v>0</v>
      </c>
      <c r="E34" s="8" t="b">
        <v>0</v>
      </c>
      <c r="F34" s="8" t="b">
        <v>1</v>
      </c>
      <c r="G34" s="8" t="b">
        <v>1</v>
      </c>
    </row>
    <row r="35" spans="1:7" s="9" customFormat="1" ht="14.25" x14ac:dyDescent="0.2">
      <c r="A35" s="8" t="s">
        <v>14</v>
      </c>
      <c r="B35" s="8">
        <v>0</v>
      </c>
      <c r="C35" s="8">
        <v>0</v>
      </c>
      <c r="D35" s="8">
        <f>xlNoRestrictions</f>
        <v>0</v>
      </c>
      <c r="E35" s="8" t="b">
        <v>1</v>
      </c>
      <c r="F35" s="8" t="b">
        <v>0</v>
      </c>
      <c r="G35" s="8" t="b">
        <v>0</v>
      </c>
    </row>
    <row r="36" spans="1:7" s="9" customFormat="1" ht="14.25" x14ac:dyDescent="0.2">
      <c r="A36" s="8" t="s">
        <v>11</v>
      </c>
      <c r="B36" s="8">
        <v>0</v>
      </c>
      <c r="C36" s="8">
        <v>0</v>
      </c>
      <c r="D36" s="8">
        <f>xlNoRestrictions</f>
        <v>0</v>
      </c>
      <c r="E36" s="8" t="b">
        <v>1</v>
      </c>
      <c r="F36" s="8" t="b">
        <v>0</v>
      </c>
      <c r="G36" s="8" t="b">
        <v>0</v>
      </c>
    </row>
  </sheetData>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ImplementationNotes"/>
  <dimension ref="A1:A23"/>
  <sheetViews>
    <sheetView workbookViewId="0"/>
  </sheetViews>
  <sheetFormatPr defaultRowHeight="15" x14ac:dyDescent="0.25"/>
  <cols>
    <col min="1" max="1" width="101.85546875" style="94" customWidth="1"/>
  </cols>
  <sheetData>
    <row r="1" spans="1:1" x14ac:dyDescent="0.25">
      <c r="A1" s="92"/>
    </row>
    <row r="2" spans="1:1" x14ac:dyDescent="0.25">
      <c r="A2" s="93"/>
    </row>
    <row r="3" spans="1:1" x14ac:dyDescent="0.25">
      <c r="A3" s="92"/>
    </row>
    <row r="4" spans="1:1" x14ac:dyDescent="0.25">
      <c r="A4" s="93"/>
    </row>
    <row r="5" spans="1:1" x14ac:dyDescent="0.25">
      <c r="A5" s="93"/>
    </row>
    <row r="6" spans="1:1" x14ac:dyDescent="0.25">
      <c r="A6" s="92"/>
    </row>
    <row r="7" spans="1:1" x14ac:dyDescent="0.25">
      <c r="A7" s="92"/>
    </row>
    <row r="8" spans="1:1" x14ac:dyDescent="0.25">
      <c r="A8" s="92"/>
    </row>
    <row r="9" spans="1:1" x14ac:dyDescent="0.25">
      <c r="A9" s="92"/>
    </row>
    <row r="10" spans="1:1" x14ac:dyDescent="0.25">
      <c r="A10" s="92"/>
    </row>
    <row r="11" spans="1:1" x14ac:dyDescent="0.25">
      <c r="A11" s="93"/>
    </row>
    <row r="12" spans="1:1" x14ac:dyDescent="0.25">
      <c r="A12" s="93"/>
    </row>
    <row r="13" spans="1:1" x14ac:dyDescent="0.25">
      <c r="A13" s="92"/>
    </row>
    <row r="14" spans="1:1" x14ac:dyDescent="0.25">
      <c r="A14" s="93"/>
    </row>
    <row r="15" spans="1:1" x14ac:dyDescent="0.25">
      <c r="A15" s="93"/>
    </row>
    <row r="16" spans="1:1" x14ac:dyDescent="0.25">
      <c r="A16" s="93"/>
    </row>
    <row r="17" spans="1:1" x14ac:dyDescent="0.25">
      <c r="A17" s="93"/>
    </row>
    <row r="18" spans="1:1" x14ac:dyDescent="0.25">
      <c r="A18" s="93"/>
    </row>
    <row r="19" spans="1:1" x14ac:dyDescent="0.25">
      <c r="A19" s="93"/>
    </row>
    <row r="20" spans="1:1" x14ac:dyDescent="0.25">
      <c r="A20" s="92"/>
    </row>
    <row r="21" spans="1:1" x14ac:dyDescent="0.25">
      <c r="A21" s="93"/>
    </row>
    <row r="22" spans="1:1" x14ac:dyDescent="0.25">
      <c r="A22" s="93"/>
    </row>
    <row r="23" spans="1:1" x14ac:dyDescent="0.25">
      <c r="A23" s="93"/>
    </row>
  </sheetData>
  <pageMargins left="0.7" right="0.7" top="0.75" bottom="0.75" header="0.3" footer="0.3"/>
  <pageSetup orientation="portrait" horizont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244</vt:i4>
      </vt:variant>
    </vt:vector>
  </HeadingPairs>
  <TitlesOfParts>
    <vt:vector size="280" baseType="lpstr">
      <vt:lpstr>Macro Instructions</vt:lpstr>
      <vt:lpstr>Instructions</vt:lpstr>
      <vt:lpstr>Agency Information</vt:lpstr>
      <vt:lpstr>IV.</vt:lpstr>
      <vt:lpstr>V.A.</vt:lpstr>
      <vt:lpstr>V.B.1.</vt:lpstr>
      <vt:lpstr>V.B.2.</vt:lpstr>
      <vt:lpstr>V.B.3.</vt:lpstr>
      <vt:lpstr>VI.A.</vt:lpstr>
      <vt:lpstr>VI.B.</vt:lpstr>
      <vt:lpstr>VI.C.1.</vt:lpstr>
      <vt:lpstr>VI.C.2.</vt:lpstr>
      <vt:lpstr>VI.C.3.</vt:lpstr>
      <vt:lpstr>VI.C.4.</vt:lpstr>
      <vt:lpstr>VI.C.5.</vt:lpstr>
      <vt:lpstr>VII.A.</vt:lpstr>
      <vt:lpstr>VII.B.</vt:lpstr>
      <vt:lpstr>VII.C.1.</vt:lpstr>
      <vt:lpstr>VII.C.2.</vt:lpstr>
      <vt:lpstr>Sheet1</vt:lpstr>
      <vt:lpstr>VII.C.3.</vt:lpstr>
      <vt:lpstr>VII.D.</vt:lpstr>
      <vt:lpstr>VII.E.</vt:lpstr>
      <vt:lpstr>VIII.A.</vt:lpstr>
      <vt:lpstr>VIII.B.</vt:lpstr>
      <vt:lpstr>IX.</vt:lpstr>
      <vt:lpstr>X.</vt:lpstr>
      <vt:lpstr>XII.A.</vt:lpstr>
      <vt:lpstr>XII.B.</vt:lpstr>
      <vt:lpstr>XII.C.</vt:lpstr>
      <vt:lpstr>XII.D.1.</vt:lpstr>
      <vt:lpstr>XII.D.2.</vt:lpstr>
      <vt:lpstr>XII.E.1.</vt:lpstr>
      <vt:lpstr>XII.E.2.</vt:lpstr>
      <vt:lpstr>wksUISettings</vt:lpstr>
      <vt:lpstr>Implementation Notes</vt:lpstr>
      <vt:lpstr>'Agency Information'!AgencyAbbreviation</vt:lpstr>
      <vt:lpstr>'Agency Information'!AgencyName</vt:lpstr>
      <vt:lpstr>'Agency Information'!AnnualReportYear</vt:lpstr>
      <vt:lpstr>ComponentAbbreviation</vt:lpstr>
      <vt:lpstr>ComponentAbbrevNoAgency</vt:lpstr>
      <vt:lpstr>'Agency Information'!DatePrepared</vt:lpstr>
      <vt:lpstr>IV.!FootnoteEnd</vt:lpstr>
      <vt:lpstr>IX.!FootnoteEnd</vt:lpstr>
      <vt:lpstr>V.A.!FootnoteEnd</vt:lpstr>
      <vt:lpstr>V.B.1.!FootnoteEnd</vt:lpstr>
      <vt:lpstr>V.B.2.!FootnoteEnd</vt:lpstr>
      <vt:lpstr>V.B.3.!FootnoteEnd</vt:lpstr>
      <vt:lpstr>VI.A.!FootnoteEnd</vt:lpstr>
      <vt:lpstr>VI.B.!FootnoteEnd</vt:lpstr>
      <vt:lpstr>VI.C.1.!FootnoteEnd</vt:lpstr>
      <vt:lpstr>VI.C.2.!FootnoteEnd</vt:lpstr>
      <vt:lpstr>VI.C.3.!FootnoteEnd</vt:lpstr>
      <vt:lpstr>VI.C.4.!FootnoteEnd</vt:lpstr>
      <vt:lpstr>VI.C.5.!FootnoteEnd</vt:lpstr>
      <vt:lpstr>VII.A.!FootnoteEnd</vt:lpstr>
      <vt:lpstr>VII.B.!FootnoteEnd</vt:lpstr>
      <vt:lpstr>VII.C.1.!FootnoteEnd</vt:lpstr>
      <vt:lpstr>VII.C.2.!FootnoteEnd</vt:lpstr>
      <vt:lpstr>VII.C.3.!FootnoteEnd</vt:lpstr>
      <vt:lpstr>VII.D.!FootnoteEnd</vt:lpstr>
      <vt:lpstr>VII.E.!FootnoteEnd</vt:lpstr>
      <vt:lpstr>VIII.A.!FootnoteEnd</vt:lpstr>
      <vt:lpstr>VIII.B.!FootnoteEnd</vt:lpstr>
      <vt:lpstr>X.!FootnoteEnd</vt:lpstr>
      <vt:lpstr>XII.A.!FootnoteEnd</vt:lpstr>
      <vt:lpstr>XII.B.!FootnoteEnd</vt:lpstr>
      <vt:lpstr>XII.C.!FootnoteEnd</vt:lpstr>
      <vt:lpstr>XII.D.1.!FootnoteEnd</vt:lpstr>
      <vt:lpstr>XII.D.2.!FootnoteEnd</vt:lpstr>
      <vt:lpstr>XII.E.1.!FootnoteEnd</vt:lpstr>
      <vt:lpstr>XII.E.2.!FootnoteEnd</vt:lpstr>
      <vt:lpstr>IV.!FootnoteStart</vt:lpstr>
      <vt:lpstr>IX.!FootnoteStart</vt:lpstr>
      <vt:lpstr>V.A.!FootnoteStart</vt:lpstr>
      <vt:lpstr>V.B.1.!FootnoteStart</vt:lpstr>
      <vt:lpstr>V.B.2.!FootnoteStart</vt:lpstr>
      <vt:lpstr>V.B.3.!FootnoteStart</vt:lpstr>
      <vt:lpstr>VI.A.!FootnoteStart</vt:lpstr>
      <vt:lpstr>VI.B.!FootnoteStart</vt:lpstr>
      <vt:lpstr>VI.C.1.!FootnoteStart</vt:lpstr>
      <vt:lpstr>VI.C.2.!FootnoteStart</vt:lpstr>
      <vt:lpstr>VI.C.3.!FootnoteStart</vt:lpstr>
      <vt:lpstr>VI.C.4.!FootnoteStart</vt:lpstr>
      <vt:lpstr>VI.C.5.!FootnoteStart</vt:lpstr>
      <vt:lpstr>VII.A.!FootnoteStart</vt:lpstr>
      <vt:lpstr>VII.B.!FootnoteStart</vt:lpstr>
      <vt:lpstr>VII.C.1.!FootnoteStart</vt:lpstr>
      <vt:lpstr>VII.C.2.!FootnoteStart</vt:lpstr>
      <vt:lpstr>VII.C.3.!FootnoteStart</vt:lpstr>
      <vt:lpstr>VII.D.!FootnoteStart</vt:lpstr>
      <vt:lpstr>VII.E.!FootnoteStart</vt:lpstr>
      <vt:lpstr>VIII.A.!FootnoteStart</vt:lpstr>
      <vt:lpstr>VIII.B.!FootnoteStart</vt:lpstr>
      <vt:lpstr>X.!FootnoteStart</vt:lpstr>
      <vt:lpstr>XII.A.!FootnoteStart</vt:lpstr>
      <vt:lpstr>XII.B.!FootnoteStart</vt:lpstr>
      <vt:lpstr>XII.C.!FootnoteStart</vt:lpstr>
      <vt:lpstr>XII.D.1.!FootnoteStart</vt:lpstr>
      <vt:lpstr>XII.D.2.!FootnoteStart</vt:lpstr>
      <vt:lpstr>XII.E.1.!FootnoteStart</vt:lpstr>
      <vt:lpstr>XII.E.2.!FootnoteStart</vt:lpstr>
      <vt:lpstr>'Agency Information'!InputListEnd</vt:lpstr>
      <vt:lpstr>IV.!InputListEnd</vt:lpstr>
      <vt:lpstr>IX.!InputListEnd</vt:lpstr>
      <vt:lpstr>V.A.!InputListEnd</vt:lpstr>
      <vt:lpstr>V.B.1.!InputListEnd</vt:lpstr>
      <vt:lpstr>V.B.2.!InputListEnd</vt:lpstr>
      <vt:lpstr>V.B.3.!InputListEnd</vt:lpstr>
      <vt:lpstr>VI.A.!InputListEnd</vt:lpstr>
      <vt:lpstr>VI.B.!InputListEnd</vt:lpstr>
      <vt:lpstr>VI.C.1.!InputListEnd</vt:lpstr>
      <vt:lpstr>VI.C.2.!InputListEnd</vt:lpstr>
      <vt:lpstr>VI.C.3.!InputListEnd</vt:lpstr>
      <vt:lpstr>VI.C.4.!InputListEnd</vt:lpstr>
      <vt:lpstr>VI.C.5.!InputListEnd</vt:lpstr>
      <vt:lpstr>VII.A.!InputListEnd</vt:lpstr>
      <vt:lpstr>VII.B.!InputListEnd</vt:lpstr>
      <vt:lpstr>VII.C.1.!InputListEnd</vt:lpstr>
      <vt:lpstr>VII.C.2.!InputListEnd</vt:lpstr>
      <vt:lpstr>VII.C.3.!InputListEnd</vt:lpstr>
      <vt:lpstr>VII.D.!InputListEnd</vt:lpstr>
      <vt:lpstr>VII.E.!InputListEnd</vt:lpstr>
      <vt:lpstr>VIII.A.!InputListEnd</vt:lpstr>
      <vt:lpstr>VIII.B.!InputListEnd</vt:lpstr>
      <vt:lpstr>X.!InputListEnd</vt:lpstr>
      <vt:lpstr>XII.A.!InputListEnd</vt:lpstr>
      <vt:lpstr>XII.B.!InputListEnd</vt:lpstr>
      <vt:lpstr>XII.C.!InputListEnd</vt:lpstr>
      <vt:lpstr>XII.D.1.!InputListEnd</vt:lpstr>
      <vt:lpstr>XII.D.2.!InputListEnd</vt:lpstr>
      <vt:lpstr>XII.E.1.!InputListEnd</vt:lpstr>
      <vt:lpstr>XII.E.2.!InputListEnd</vt:lpstr>
      <vt:lpstr>'Agency Information'!InputListStart</vt:lpstr>
      <vt:lpstr>IV.!InputListStart</vt:lpstr>
      <vt:lpstr>IX.!InputListStart</vt:lpstr>
      <vt:lpstr>V.A.!InputListStart</vt:lpstr>
      <vt:lpstr>V.B.1.!InputListStart</vt:lpstr>
      <vt:lpstr>V.B.2.!InputListStart</vt:lpstr>
      <vt:lpstr>V.B.3.!InputListStart</vt:lpstr>
      <vt:lpstr>VI.A.!InputListStart</vt:lpstr>
      <vt:lpstr>VI.B.!InputListStart</vt:lpstr>
      <vt:lpstr>VI.C.1.!InputListStart</vt:lpstr>
      <vt:lpstr>VI.C.2.!InputListStart</vt:lpstr>
      <vt:lpstr>VI.C.3.!InputListStart</vt:lpstr>
      <vt:lpstr>VI.C.4.!InputListStart</vt:lpstr>
      <vt:lpstr>VI.C.5.!InputListStart</vt:lpstr>
      <vt:lpstr>VII.A.!InputListStart</vt:lpstr>
      <vt:lpstr>VII.B.!InputListStart</vt:lpstr>
      <vt:lpstr>VII.C.1.!InputListStart</vt:lpstr>
      <vt:lpstr>VII.C.2.!InputListStart</vt:lpstr>
      <vt:lpstr>VII.C.3.!InputListStart</vt:lpstr>
      <vt:lpstr>VII.D.!InputListStart</vt:lpstr>
      <vt:lpstr>VII.E.!InputListStart</vt:lpstr>
      <vt:lpstr>VIII.A.!InputListStart</vt:lpstr>
      <vt:lpstr>VIII.B.!InputListStart</vt:lpstr>
      <vt:lpstr>X.!InputListStart</vt:lpstr>
      <vt:lpstr>XII.A.!InputListStart</vt:lpstr>
      <vt:lpstr>XII.B.!InputListStart</vt:lpstr>
      <vt:lpstr>XII.C.!InputListStart</vt:lpstr>
      <vt:lpstr>XII.D.1.!InputListStart</vt:lpstr>
      <vt:lpstr>XII.D.2.!InputListStart</vt:lpstr>
      <vt:lpstr>XII.E.1.!InputListStart</vt:lpstr>
      <vt:lpstr>XII.E.2.!InputListStart</vt:lpstr>
      <vt:lpstr>IX_Components</vt:lpstr>
      <vt:lpstr>IX_Processing_Costs</vt:lpstr>
      <vt:lpstr>'Agency Information'!ptrCellAbove</vt:lpstr>
      <vt:lpstr>IV.!ptrCellAbove</vt:lpstr>
      <vt:lpstr>IX.!ptrCellAbove</vt:lpstr>
      <vt:lpstr>V.A.!ptrCellAbove</vt:lpstr>
      <vt:lpstr>V.B.1.!ptrCellAbove</vt:lpstr>
      <vt:lpstr>V.B.2.!ptrCellAbove</vt:lpstr>
      <vt:lpstr>V.B.3.!ptrCellAbove</vt:lpstr>
      <vt:lpstr>VI.A.!ptrCellAbove</vt:lpstr>
      <vt:lpstr>VI.B.!ptrCellAbove</vt:lpstr>
      <vt:lpstr>VI.C.1.!ptrCellAbove</vt:lpstr>
      <vt:lpstr>VI.C.2.!ptrCellAbove</vt:lpstr>
      <vt:lpstr>VI.C.3.!ptrCellAbove</vt:lpstr>
      <vt:lpstr>VI.C.4.!ptrCellAbove</vt:lpstr>
      <vt:lpstr>VI.C.5.!ptrCellAbove</vt:lpstr>
      <vt:lpstr>VII.A.!ptrCellAbove</vt:lpstr>
      <vt:lpstr>VII.B.!ptrCellAbove</vt:lpstr>
      <vt:lpstr>VII.C.1.!ptrCellAbove</vt:lpstr>
      <vt:lpstr>VII.C.2.!ptrCellAbove</vt:lpstr>
      <vt:lpstr>VII.C.3.!ptrCellAbove</vt:lpstr>
      <vt:lpstr>VII.D.!ptrCellAbove</vt:lpstr>
      <vt:lpstr>VII.E.!ptrCellAbove</vt:lpstr>
      <vt:lpstr>VIII.A.!ptrCellAbove</vt:lpstr>
      <vt:lpstr>VIII.B.!ptrCellAbove</vt:lpstr>
      <vt:lpstr>X.!ptrCellAbove</vt:lpstr>
      <vt:lpstr>XII.A.!ptrCellAbove</vt:lpstr>
      <vt:lpstr>XII.B.!ptrCellAbove</vt:lpstr>
      <vt:lpstr>XII.C.!ptrCellAbove</vt:lpstr>
      <vt:lpstr>XII.D.1.!ptrCellAbove</vt:lpstr>
      <vt:lpstr>XII.D.2.!ptrCellAbove</vt:lpstr>
      <vt:lpstr>XII.E.1.!ptrCellAbove</vt:lpstr>
      <vt:lpstr>XII.E.2.!ptrCellAbove</vt:lpstr>
      <vt:lpstr>VI.C.5.!ptrLastInColumn</vt:lpstr>
      <vt:lpstr>VII.E.!ptrLastInColumn</vt:lpstr>
      <vt:lpstr>XII.C.!ptrLastInColumn</vt:lpstr>
      <vt:lpstr>'Agency Information'!setScrollArea</vt:lpstr>
      <vt:lpstr>Instructions!setScrollArea</vt:lpstr>
      <vt:lpstr>IV.!setScrollArea</vt:lpstr>
      <vt:lpstr>IX.!setScrollArea</vt:lpstr>
      <vt:lpstr>'Macro Instructions'!setScrollArea</vt:lpstr>
      <vt:lpstr>V.A.!setScrollArea</vt:lpstr>
      <vt:lpstr>V.B.1.!setScrollArea</vt:lpstr>
      <vt:lpstr>V.B.2.!setScrollArea</vt:lpstr>
      <vt:lpstr>V.B.3.!setScrollArea</vt:lpstr>
      <vt:lpstr>VI.A.!setScrollArea</vt:lpstr>
      <vt:lpstr>VI.B.!setScrollArea</vt:lpstr>
      <vt:lpstr>VI.C.1.!setScrollArea</vt:lpstr>
      <vt:lpstr>VI.C.2.!setScrollArea</vt:lpstr>
      <vt:lpstr>VI.C.3.!setScrollArea</vt:lpstr>
      <vt:lpstr>VI.C.4.!setScrollArea</vt:lpstr>
      <vt:lpstr>VI.C.5.!setScrollArea</vt:lpstr>
      <vt:lpstr>VII.A.!setScrollArea</vt:lpstr>
      <vt:lpstr>VII.B.!setScrollArea</vt:lpstr>
      <vt:lpstr>VII.C.1.!setScrollArea</vt:lpstr>
      <vt:lpstr>VII.C.2.!setScrollArea</vt:lpstr>
      <vt:lpstr>VII.C.3.!setScrollArea</vt:lpstr>
      <vt:lpstr>VII.D.!setScrollArea</vt:lpstr>
      <vt:lpstr>VII.E.!setScrollArea</vt:lpstr>
      <vt:lpstr>VIII.A.!setScrollArea</vt:lpstr>
      <vt:lpstr>VIII.B.!setScrollArea</vt:lpstr>
      <vt:lpstr>X.!setScrollArea</vt:lpstr>
      <vt:lpstr>XII.A.!setScrollArea</vt:lpstr>
      <vt:lpstr>XII.B.!setScrollArea</vt:lpstr>
      <vt:lpstr>XII.C.!setScrollArea</vt:lpstr>
      <vt:lpstr>XII.D.1.!setScrollArea</vt:lpstr>
      <vt:lpstr>XII.D.2.!setScrollArea</vt:lpstr>
      <vt:lpstr>XII.E.1.!setScrollArea</vt:lpstr>
      <vt:lpstr>XII.E.2.!setScrollArea</vt:lpstr>
      <vt:lpstr>'Agency Information'!SheetError</vt:lpstr>
      <vt:lpstr>IV.!SheetError</vt:lpstr>
      <vt:lpstr>IX.!SheetError</vt:lpstr>
      <vt:lpstr>V.A.!SheetError</vt:lpstr>
      <vt:lpstr>V.B.1.!SheetError</vt:lpstr>
      <vt:lpstr>V.B.2.!SheetError</vt:lpstr>
      <vt:lpstr>V.B.3.!SheetError</vt:lpstr>
      <vt:lpstr>VI.A.!SheetError</vt:lpstr>
      <vt:lpstr>VI.B.!SheetError</vt:lpstr>
      <vt:lpstr>VI.C.1.!SheetError</vt:lpstr>
      <vt:lpstr>VI.C.2.!SheetError</vt:lpstr>
      <vt:lpstr>VI.C.3.!SheetError</vt:lpstr>
      <vt:lpstr>VI.C.4.!SheetError</vt:lpstr>
      <vt:lpstr>VI.C.5.!SheetError</vt:lpstr>
      <vt:lpstr>VII.A.!SheetError</vt:lpstr>
      <vt:lpstr>VII.B.!SheetError</vt:lpstr>
      <vt:lpstr>VII.C.1.!SheetError</vt:lpstr>
      <vt:lpstr>VII.C.2.!SheetError</vt:lpstr>
      <vt:lpstr>VII.C.3.!SheetError</vt:lpstr>
      <vt:lpstr>VII.D.!SheetError</vt:lpstr>
      <vt:lpstr>VII.E.!SheetError</vt:lpstr>
      <vt:lpstr>VIII.A.!SheetError</vt:lpstr>
      <vt:lpstr>VIII.B.!SheetError</vt:lpstr>
      <vt:lpstr>X.!SheetError</vt:lpstr>
      <vt:lpstr>XII.A.!SheetError</vt:lpstr>
      <vt:lpstr>XII.B.!SheetError</vt:lpstr>
      <vt:lpstr>XII.C.!SheetError</vt:lpstr>
      <vt:lpstr>XII.D.1.!SheetError</vt:lpstr>
      <vt:lpstr>XII.D.2.!SheetError</vt:lpstr>
      <vt:lpstr>XII.E.1.!SheetError</vt:lpstr>
      <vt:lpstr>XII.E.2.!SheetError</vt:lpstr>
      <vt:lpstr>XII.B.!V_A_Components</vt:lpstr>
      <vt:lpstr>V_A_Components</vt:lpstr>
      <vt:lpstr>XII.B.!V_A_Processed</vt:lpstr>
      <vt:lpstr>V_A_Processed</vt:lpstr>
      <vt:lpstr>V_A_Received</vt:lpstr>
      <vt:lpstr>V_B_1_Components</vt:lpstr>
      <vt:lpstr>V_B_1_Other</vt:lpstr>
      <vt:lpstr>VI_A_Components</vt:lpstr>
      <vt:lpstr>VI_A_Processed</vt:lpstr>
      <vt:lpstr>VI_A_Received</vt:lpstr>
      <vt:lpstr>VI_B_Components</vt:lpstr>
      <vt:lpstr>VI_C_2_Components</vt:lpstr>
      <vt:lpstr>VI_C_2_Other</vt:lpstr>
      <vt:lpstr>XII_A_BackloggedAppeals</vt:lpstr>
      <vt:lpstr>XII_A_BackloggedRequests</vt:lpstr>
      <vt:lpstr>XII_A_Components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Amy Nicholas</dc:creator>
  <cp:lastModifiedBy>Amy Nicholas</cp:lastModifiedBy>
  <dcterms:created xsi:type="dcterms:W3CDTF">2010-03-19T11:17:11Z</dcterms:created>
  <dcterms:modified xsi:type="dcterms:W3CDTF">2017-11-08T12:26:08Z</dcterms:modified>
</cp:coreProperties>
</file>